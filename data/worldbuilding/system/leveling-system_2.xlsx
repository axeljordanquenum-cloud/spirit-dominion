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jordanquenum/Downloads/"/>
    </mc:Choice>
  </mc:AlternateContent>
  <xr:revisionPtr revIDLastSave="0" documentId="13_ncr:1_{69B9A48F-384C-D14B-9F1A-58DC3FB88F1E}" xr6:coauthVersionLast="47" xr6:coauthVersionMax="47" xr10:uidLastSave="{00000000-0000-0000-0000-000000000000}"/>
  <bookViews>
    <workbookView xWindow="0" yWindow="0" windowWidth="28800" windowHeight="18000" tabRatio="500" firstSheet="2" activeTab="2" xr2:uid="{00000000-000D-0000-FFFF-FFFF00000000}"/>
  </bookViews>
  <sheets>
    <sheet name="Assumptions" sheetId="1" r:id="rId1"/>
    <sheet name="Rank &amp; Level Structure" sheetId="2" r:id="rId2"/>
    <sheet name="EXP Required" sheetId="3" r:id="rId3"/>
    <sheet name="Kill EXP Cross Table" sheetId="4" r:id="rId4"/>
    <sheet name="kill exp cross table 2" sheetId="11" r:id="rId5"/>
    <sheet name="Kill EXP Calculator" sheetId="5" r:id="rId6"/>
    <sheet name="Quality Bonus Table" sheetId="6" r:id="rId7"/>
    <sheet name="EXP Modifiers" sheetId="7" r:id="rId8"/>
    <sheet name="Non-Kill EXP Sources" sheetId="8" r:id="rId9"/>
    <sheet name="Stage Transition" sheetId="9" r:id="rId10"/>
    <sheet name="FA &amp; Skill Thresholds" sheetId="10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11" l="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B4" i="11"/>
  <c r="D17" i="9"/>
  <c r="D16" i="9"/>
  <c r="D13" i="9"/>
  <c r="B17" i="9" s="1"/>
  <c r="D12" i="9"/>
  <c r="B16" i="9" s="1"/>
  <c r="D11" i="9"/>
  <c r="D10" i="9"/>
  <c r="B5" i="9"/>
  <c r="B4" i="9"/>
  <c r="B26" i="7"/>
  <c r="B16" i="7"/>
  <c r="G25" i="5"/>
  <c r="G19" i="5"/>
  <c r="G26" i="5" s="1"/>
  <c r="B16" i="5"/>
  <c r="B14" i="5"/>
  <c r="B20" i="5" s="1"/>
  <c r="B10" i="5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C4" i="3"/>
  <c r="B15" i="5" l="1"/>
  <c r="B18" i="5" s="1"/>
  <c r="G22" i="5"/>
  <c r="G23" i="5" s="1"/>
  <c r="G27" i="5"/>
  <c r="G28" i="5" s="1"/>
  <c r="G29" i="5" s="1"/>
  <c r="B17" i="5"/>
  <c r="B19" i="5"/>
  <c r="B22" i="5" l="1"/>
  <c r="B24" i="5" s="1"/>
  <c r="B28" i="5" s="1"/>
  <c r="B21" i="5"/>
  <c r="G24" i="5"/>
  <c r="G30" i="5" s="1"/>
  <c r="B23" i="5"/>
  <c r="G31" i="5" l="1"/>
  <c r="G32" i="5"/>
  <c r="G36" i="5" s="1"/>
  <c r="B29" i="5"/>
  <c r="B27" i="5"/>
  <c r="G37" i="5" l="1"/>
  <c r="G35" i="5"/>
</calcChain>
</file>

<file path=xl/sharedStrings.xml><?xml version="1.0" encoding="utf-8"?>
<sst xmlns="http://schemas.openxmlformats.org/spreadsheetml/2006/main" count="473" uniqueCount="342">
  <si>
    <t>LEVELING SYSTEM — CORE ASSUMPTIONS</t>
  </si>
  <si>
    <t>Parameter</t>
  </si>
  <si>
    <t>Symbol</t>
  </si>
  <si>
    <t>Value</t>
  </si>
  <si>
    <t>Notes</t>
  </si>
  <si>
    <t>EXP req exponent</t>
  </si>
  <si>
    <t>α</t>
  </si>
  <si>
    <t>Fixed across all stages and tracks</t>
  </si>
  <si>
    <t>EXP req constant (Awakened)</t>
  </si>
  <si>
    <t>C_req</t>
  </si>
  <si>
    <t>Blue = input. Shifts at stage transition.</t>
  </si>
  <si>
    <t>Kill yield exponent</t>
  </si>
  <si>
    <t>β</t>
  </si>
  <si>
    <t>Kill yield constant (Awakened)</t>
  </si>
  <si>
    <t>C_kill</t>
  </si>
  <si>
    <t>Class EXP share (aligned)</t>
  </si>
  <si>
    <t>—</t>
  </si>
  <si>
    <t>Fully aligned kill method</t>
  </si>
  <si>
    <t>Race EXP share (aligned)</t>
  </si>
  <si>
    <t>Class EXP share (partial)</t>
  </si>
  <si>
    <t>Partially aligned kill method</t>
  </si>
  <si>
    <t>Race EXP share (partial)</t>
  </si>
  <si>
    <t>Class EXP share (unaligned)</t>
  </si>
  <si>
    <t>Unaligned kill method</t>
  </si>
  <si>
    <t>Race EXP share (unaligned)</t>
  </si>
  <si>
    <t>Kill shot bonus</t>
  </si>
  <si>
    <t>+40% on top of contribution share</t>
  </si>
  <si>
    <t>Faction EXP split (class)</t>
  </si>
  <si>
    <t>Faction/leadership actions</t>
  </si>
  <si>
    <t>Faction EXP split (race)</t>
  </si>
  <si>
    <t>Non-qualifying gate yield</t>
  </si>
  <si>
    <t>5% of normal yield during narrative gate</t>
  </si>
  <si>
    <t>Blue values = inputs that can be changed. All other sheets reference these cells.</t>
  </si>
  <si>
    <t>RANK &amp; LEVEL STRUCTURE</t>
  </si>
  <si>
    <t>Rank</t>
  </si>
  <si>
    <t>Class Lv range</t>
  </si>
  <si>
    <t>Class Lv cap</t>
  </si>
  <si>
    <t>Overall class Lv</t>
  </si>
  <si>
    <t>Sublimation stage</t>
  </si>
  <si>
    <t>Race Lv pool</t>
  </si>
  <si>
    <t>Combined peak</t>
  </si>
  <si>
    <t>F</t>
  </si>
  <si>
    <t>[1–10]</t>
  </si>
  <si>
    <t>Awakened</t>
  </si>
  <si>
    <t>E</t>
  </si>
  <si>
    <t>[1–15]</t>
  </si>
  <si>
    <t>D</t>
  </si>
  <si>
    <t>[1–25]</t>
  </si>
  <si>
    <t>C</t>
  </si>
  <si>
    <t>[1–40]</t>
  </si>
  <si>
    <t>Extraordinary</t>
  </si>
  <si>
    <t>B</t>
  </si>
  <si>
    <t>[1–60]</t>
  </si>
  <si>
    <t>A</t>
  </si>
  <si>
    <t>[1–70]</t>
  </si>
  <si>
    <t>Named</t>
  </si>
  <si>
    <t>S</t>
  </si>
  <si>
    <t>[1–80]</t>
  </si>
  <si>
    <t>SS</t>
  </si>
  <si>
    <t>[1–200]</t>
  </si>
  <si>
    <t>Eternal</t>
  </si>
  <si>
    <t>EX</t>
  </si>
  <si>
    <t>[1–∞]</t>
  </si>
  <si>
    <t>∞</t>
  </si>
  <si>
    <t>Primordial</t>
  </si>
  <si>
    <t>Race level pool is shared freely across all ranks within a stage — no sub-cap per rank.</t>
  </si>
  <si>
    <t>EXP REQUIRED PER LEVEL  |  Formula: Lv^α × C_req</t>
  </si>
  <si>
    <t>α = Assumptions!C3   C_req = Assumptions!C4   (change assumptions there)</t>
  </si>
  <si>
    <t>Track level (x)</t>
  </si>
  <si>
    <t>EXP req (x→x+1)</t>
  </si>
  <si>
    <t>Cumulative class EXP</t>
  </si>
  <si>
    <t>Cumulative EXP resets at each sublimation stage boundary. C_req recalibrates — see Stage Transition sheet.</t>
  </si>
  <si>
    <t>KILL EXP CROSS TABLE  |  Your overall Lv (rows) vs Opponent overall Lv (cols)  |  Same rank, factor ×1.0</t>
  </si>
  <si>
    <t>Formula: Opp_Lv^β × C_kill × (Opp_Lv / Your_Lv)   |   β = Assumptions!C5   C_kill = Assumptions!C6</t>
  </si>
  <si>
    <t>Your Lv \ Opp Lv</t>
  </si>
  <si>
    <t>Blue bold = over-level kill (opp &gt; you)   |   Red = under-level kill (opp &lt; you)   |   Black = same level</t>
  </si>
  <si>
    <t>This table shows same-rank kills only (factor ×1.0). Multiply by rank factor for over-rank: ×2.0 (+1 rank), ×3.5 (+2 ranks), ×5.0 (+3 ranks).</t>
  </si>
  <si>
    <t>Values hardcoded at β=1.35, C_kill=10 (Awakened baseline). Recalculate manually if assumptions change.</t>
  </si>
  <si>
    <t>KILL EXP CALCULATOR  |  Solo and Team scenarios</t>
  </si>
  <si>
    <t>Yellow cells = inputs. Quality gap is determined automatically from Self quality vs Opponent quality.</t>
  </si>
  <si>
    <t>SHARED INPUTS</t>
  </si>
  <si>
    <t>Your overall level</t>
  </si>
  <si>
    <t>Opponent overall level</t>
  </si>
  <si>
    <t>Rank factor</t>
  </si>
  <si>
    <t>Alignment (1=full / 0.5=partial / 0=unaligned)</t>
  </si>
  <si>
    <t>Self quality</t>
  </si>
  <si>
    <t>Basic</t>
  </si>
  <si>
    <t>← quality: Basic / Elite / Rare / Epic / Apex / Legendary / Celestial</t>
  </si>
  <si>
    <t>Opponent quality</t>
  </si>
  <si>
    <t>Quality gap (auto)</t>
  </si>
  <si>
    <t>← auto from qualities above</t>
  </si>
  <si>
    <t>Rank factor ref: same=×1.0 | +1 rank=×2.0 | +2=×3.5 | +3=×5.0 | +4=×6.5 | below=×0</t>
  </si>
  <si>
    <t>SOLO KILL</t>
  </si>
  <si>
    <t>TEAM KILL</t>
  </si>
  <si>
    <t>Base kill EXP</t>
  </si>
  <si>
    <t>Team inputs</t>
  </si>
  <si>
    <t>Quality gap bonus %</t>
  </si>
  <si>
    <t>Number of contributors</t>
  </si>
  <si>
    <t>Quality flat base</t>
  </si>
  <si>
    <t>Your contribution %</t>
  </si>
  <si>
    <t>Quality flat (scaled)</t>
  </si>
  <si>
    <t>Kill shot? (1=yes 0=no)</t>
  </si>
  <si>
    <t>Quality bonus pool</t>
  </si>
  <si>
    <t>Team quality floor</t>
  </si>
  <si>
    <t>← team floor = highest contributing member quality</t>
  </si>
  <si>
    <t>Class EXP (base)</t>
  </si>
  <si>
    <t>Quality gap (team, auto)</t>
  </si>
  <si>
    <t>← auto from opp quality vs team floor</t>
  </si>
  <si>
    <t>Race EXP (base)</t>
  </si>
  <si>
    <t>Quality bonus → class</t>
  </si>
  <si>
    <t>Team calculation</t>
  </si>
  <si>
    <t>Quality bonus → race</t>
  </si>
  <si>
    <t>Base kill EXP (same formula)</t>
  </si>
  <si>
    <t>TOTAL class EXP</t>
  </si>
  <si>
    <t>Your base share (contribution)</t>
  </si>
  <si>
    <t>TOTAL race EXP</t>
  </si>
  <si>
    <t>Team quality flat base</t>
  </si>
  <si>
    <t>Solo summary</t>
  </si>
  <si>
    <t>Team quality flat scaled</t>
  </si>
  <si>
    <t>Total class EXP</t>
  </si>
  <si>
    <t>Team quality gap %</t>
  </si>
  <si>
    <t>Total race EXP</t>
  </si>
  <si>
    <t>Team quality bonus pool</t>
  </si>
  <si>
    <t>Grand total</t>
  </si>
  <si>
    <t>Your quality share</t>
  </si>
  <si>
    <t>Your total EXP (pre-split)</t>
  </si>
  <si>
    <t>Your class EXP</t>
  </si>
  <si>
    <t>Your race EXP</t>
  </si>
  <si>
    <t>Team summary (your share)</t>
  </si>
  <si>
    <t>Your grand total</t>
  </si>
  <si>
    <t>RANK FACTOR REFERENCE</t>
  </si>
  <si>
    <t>Gap</t>
  </si>
  <si>
    <t>Factor</t>
  </si>
  <si>
    <t>Description</t>
  </si>
  <si>
    <t>Below rank</t>
  </si>
  <si>
    <t>×0</t>
  </si>
  <si>
    <t>Hard zero</t>
  </si>
  <si>
    <t>Same rank</t>
  </si>
  <si>
    <t>×1.0</t>
  </si>
  <si>
    <t>Baseline</t>
  </si>
  <si>
    <t>+1 rank</t>
  </si>
  <si>
    <t>×2.0</t>
  </si>
  <si>
    <t>Adjacent letter boundary</t>
  </si>
  <si>
    <t>+2 ranks</t>
  </si>
  <si>
    <t>×3.5</t>
  </si>
  <si>
    <t>Two boundaries</t>
  </si>
  <si>
    <t>+3 ranks</t>
  </si>
  <si>
    <t>×5.0</t>
  </si>
  <si>
    <t>+1.5 per rank, uncapped</t>
  </si>
  <si>
    <t>+4 ranks</t>
  </si>
  <si>
    <t>×6.5</t>
  </si>
  <si>
    <t>QUALITY BONUS — GAP BONUS &amp; FLAT UNLOCK TABLE</t>
  </si>
  <si>
    <t>Gap bonus (% of base kill EXP post rank factor)</t>
  </si>
  <si>
    <t>Flat unlock (base value — scaled by opp overall Lv/10)</t>
  </si>
  <si>
    <t>Quality gap (tiers)</t>
  </si>
  <si>
    <t>Gap bonus %</t>
  </si>
  <si>
    <t>Increment</t>
  </si>
  <si>
    <t>Base flat</t>
  </si>
  <si>
    <t>0%</t>
  </si>
  <si>
    <t>Basic (no bonus)</t>
  </si>
  <si>
    <t>45%</t>
  </si>
  <si>
    <t>+45%</t>
  </si>
  <si>
    <t>Elite</t>
  </si>
  <si>
    <t>+70</t>
  </si>
  <si>
    <t>110%</t>
  </si>
  <si>
    <t>+65%</t>
  </si>
  <si>
    <t>Rare</t>
  </si>
  <si>
    <t>+105</t>
  </si>
  <si>
    <t>200%</t>
  </si>
  <si>
    <t>+90%</t>
  </si>
  <si>
    <t>Epic</t>
  </si>
  <si>
    <t>+295</t>
  </si>
  <si>
    <t>320%</t>
  </si>
  <si>
    <t>+120%</t>
  </si>
  <si>
    <t>Apex</t>
  </si>
  <si>
    <t>+700</t>
  </si>
  <si>
    <t>475%</t>
  </si>
  <si>
    <t>+155%</t>
  </si>
  <si>
    <t>Legendary</t>
  </si>
  <si>
    <t>+1,750</t>
  </si>
  <si>
    <t>655%</t>
  </si>
  <si>
    <t>+180% per tier</t>
  </si>
  <si>
    <t>Celestial+</t>
  </si>
  <si>
    <t>+1,750 per tier</t>
  </si>
  <si>
    <t>Actual flat bonus = Base flat × (opponent overall Lv / 10). Bloodline uses identical table and stacks independently.</t>
  </si>
  <si>
    <t>EXP MODIFIERS — SKILLS / TITLES / TALENTS</t>
  </si>
  <si>
    <t>Modifier source ranges</t>
  </si>
  <si>
    <t>Source</t>
  </si>
  <si>
    <t>EXP req reduction (min)</t>
  </si>
  <si>
    <t>EXP req reduction (max)</t>
  </si>
  <si>
    <t>Kill yield boost (min)</t>
  </si>
  <si>
    <t>Kill yield boost (max)</t>
  </si>
  <si>
    <t>Gate</t>
  </si>
  <si>
    <t>Skill</t>
  </si>
  <si>
    <t>Level threshold</t>
  </si>
  <si>
    <t>Title</t>
  </si>
  <si>
    <t>Achievement</t>
  </si>
  <si>
    <t>Talent</t>
  </si>
  <si>
    <t>Innate / progressive</t>
  </si>
  <si>
    <t>Soft cap — EXP requirement reduction</t>
  </si>
  <si>
    <t>Zone</t>
  </si>
  <si>
    <t>Raw total range</t>
  </si>
  <si>
    <t>Efficiency</t>
  </si>
  <si>
    <t>Free zone</t>
  </si>
  <si>
    <t>0% – 30%</t>
  </si>
  <si>
    <t>100%</t>
  </si>
  <si>
    <t>Full effect — every % applies at face value</t>
  </si>
  <si>
    <t>Soft cap</t>
  </si>
  <si>
    <t>30% – 60%</t>
  </si>
  <si>
    <t>50%</t>
  </si>
  <si>
    <t>Each additional % costs 2% of modifier value</t>
  </si>
  <si>
    <t>Hard ceiling</t>
  </si>
  <si>
    <t>60%+</t>
  </si>
  <si>
    <t>No further reduction possible</t>
  </si>
  <si>
    <t>Effective reduction calculator</t>
  </si>
  <si>
    <t>Raw total reduction (sum of all modifiers)</t>
  </si>
  <si>
    <t>Effective reduction</t>
  </si>
  <si>
    <t>Kill yield boost (no cap — enter total)</t>
  </si>
  <si>
    <t>Jay — modifier stack (Book 1 provisional)</t>
  </si>
  <si>
    <t>Type</t>
  </si>
  <si>
    <t>EXP req reduction</t>
  </si>
  <si>
    <t>Kill yield boost</t>
  </si>
  <si>
    <t>Primal Spirit Orb</t>
  </si>
  <si>
    <t>Active from Ascension</t>
  </si>
  <si>
    <t>Low-mid Talent range. Edge from spirits, not EXP.</t>
  </si>
  <si>
    <t>First over-rank kill</t>
  </si>
  <si>
    <t>Faction founder</t>
  </si>
  <si>
    <t>Class skill (TBD)</t>
  </si>
  <si>
    <t>Raw total</t>
  </si>
  <si>
    <t>Effective (after soft cap)</t>
  </si>
  <si>
    <t>NON-KILL EXP SOURCES &amp; ROUTING</t>
  </si>
  <si>
    <t>Efficiency (min)</t>
  </si>
  <si>
    <t>Efficiency (max)</t>
  </si>
  <si>
    <t>Track routing</t>
  </si>
  <si>
    <t>Class split</t>
  </si>
  <si>
    <t>Race split</t>
  </si>
  <si>
    <t>Crafting / non-combat skills</t>
  </si>
  <si>
    <t>Class only</t>
  </si>
  <si>
    <t>Crafter classes can progress without combat.</t>
  </si>
  <si>
    <t>Faction / leadership actions</t>
  </si>
  <si>
    <t>Split (35/65)</t>
  </si>
  <si>
    <t>Authority shapes being more than class.</t>
  </si>
  <si>
    <t>Training / deliberate practice</t>
  </si>
  <si>
    <t>No race benefit — body needs real stress.</t>
  </si>
  <si>
    <t>Exploration / discovery</t>
  </si>
  <si>
    <t>Race only</t>
  </si>
  <si>
    <t>New environments accelerate sublimation.</t>
  </si>
  <si>
    <t>Diminishing returns apply to repeated actions. The System rewards genuine novelty — farming the same action yields progressively less.</t>
  </si>
  <si>
    <t>KILL METHOD ALIGNMENT — EXP SPLIT</t>
  </si>
  <si>
    <t>Alignment tier</t>
  </si>
  <si>
    <t>Definition</t>
  </si>
  <si>
    <t>Class share</t>
  </si>
  <si>
    <t>Race share</t>
  </si>
  <si>
    <t>Example</t>
  </si>
  <si>
    <t>Fully aligned</t>
  </si>
  <si>
    <t>Kill through core class method</t>
  </si>
  <si>
    <t>Warrior kills with sword</t>
  </si>
  <si>
    <t>Partially aligned</t>
  </si>
  <si>
    <t>Hybrid — class involved but secondary</t>
  </si>
  <si>
    <t>Warrior uses sword + finishes with gun</t>
  </si>
  <si>
    <t>Unaligned</t>
  </si>
  <si>
    <t>Kill entirely outside class identity</t>
  </si>
  <si>
    <t>Warrior kills with gun only</t>
  </si>
  <si>
    <t>SUBLIMATION STAGE TRANSITION — C_kill &amp; C_req RECALIBRATION</t>
  </si>
  <si>
    <t>β and α stay fixed. Only C_kill and C_req shift at each boundary. Each track computes independently.</t>
  </si>
  <si>
    <t>Transition formulas</t>
  </si>
  <si>
    <t>new_C_kill</t>
  </si>
  <si>
    <t>Uses opponent OVERALL level (class + race). Same axis as yield formula.</t>
  </si>
  <si>
    <t>new_C_req</t>
  </si>
  <si>
    <t>Uses character's own TRACK PEAK local level. Each track independent.</t>
  </si>
  <si>
    <t>Worked example — Awakened → Extraordinary</t>
  </si>
  <si>
    <t>Stage entry overall level (opponent axis — class + race peak)</t>
  </si>
  <si>
    <t>Track peak local level (character axis — per track)</t>
  </si>
  <si>
    <t>C_kill (Awakened)</t>
  </si>
  <si>
    <t>C_req (Awakened)</t>
  </si>
  <si>
    <t>new_C_kill = C_kill × (overall_lv + 1)^β</t>
  </si>
  <si>
    <t>new_C_req  = C_req × (track_peak + 1)^α</t>
  </si>
  <si>
    <t>Verification — Lv1 of new stage matches continuous curve</t>
  </si>
  <si>
    <t>Kill yield — new stage Lv1</t>
  </si>
  <si>
    <t>Kill yield — continuous Lv(track_peak+1)</t>
  </si>
  <si>
    <t>✓ should match</t>
  </si>
  <si>
    <t>EXP req — new stage Lv1</t>
  </si>
  <si>
    <t>EXP req — continuous Lv(track_peak+1)</t>
  </si>
  <si>
    <t>FREE ATTRIBUTE POINTS &amp; SKILL UNLOCK THRESHOLDS</t>
  </si>
  <si>
    <t>Race track — FA per level-up (primary source)</t>
  </si>
  <si>
    <t>Rank equivalent</t>
  </si>
  <si>
    <t>FA per race lv-up (min)</t>
  </si>
  <si>
    <t>FA per race lv-up (max)</t>
  </si>
  <si>
    <t>F / E / D</t>
  </si>
  <si>
    <t>C / B</t>
  </si>
  <si>
    <t>A / S</t>
  </si>
  <si>
    <t>TBD</t>
  </si>
  <si>
    <t>Class track — FA bonus per level-up (secondary source)</t>
  </si>
  <si>
    <t>Class quality</t>
  </si>
  <si>
    <t>Rank F FA/lv</t>
  </si>
  <si>
    <t>Rank E FA/lv</t>
  </si>
  <si>
    <t>Rank D FA/lv</t>
  </si>
  <si>
    <t>1–2</t>
  </si>
  <si>
    <t>2–3</t>
  </si>
  <si>
    <t>3–5</t>
  </si>
  <si>
    <t>Minimal. Race track carries the load.</t>
  </si>
  <si>
    <t>5–7</t>
  </si>
  <si>
    <t>Noticeable step up.</t>
  </si>
  <si>
    <t>5–8</t>
  </si>
  <si>
    <t>7–11</t>
  </si>
  <si>
    <t>Meaningful divergence begins.</t>
  </si>
  <si>
    <t>10–15</t>
  </si>
  <si>
    <t>Class track becomes a genuine contributor.</t>
  </si>
  <si>
    <t>7–10</t>
  </si>
  <si>
    <t>14–20</t>
  </si>
  <si>
    <t>Rivals lower race FA ranges.</t>
  </si>
  <si>
    <t>Skill unlock thresholds — Rank F &amp; E</t>
  </si>
  <si>
    <t>Class level</t>
  </si>
  <si>
    <t>Unlock</t>
  </si>
  <si>
    <t>Quality minimum</t>
  </si>
  <si>
    <t>Lv 5</t>
  </si>
  <si>
    <t>First skill slot</t>
  </si>
  <si>
    <t>Basic+</t>
  </si>
  <si>
    <t>Weak — reflects early state</t>
  </si>
  <si>
    <t>Lv 8</t>
  </si>
  <si>
    <t>First slot → Elite upgrade</t>
  </si>
  <si>
    <t>Elite+</t>
  </si>
  <si>
    <t>Basic class stays Basic</t>
  </si>
  <si>
    <t>Lv 10</t>
  </si>
  <si>
    <t>Second skill slot</t>
  </si>
  <si>
    <t>Narrative gate active</t>
  </si>
  <si>
    <t>Lv 13</t>
  </si>
  <si>
    <t>Second slot → Elite upgrade</t>
  </si>
  <si>
    <t>Lv 15</t>
  </si>
  <si>
    <t>Rank-up gate + class advancement</t>
  </si>
  <si>
    <t>Class quality minimum enforced</t>
  </si>
  <si>
    <t>Third skill slot</t>
  </si>
  <si>
    <t>First new slot post rank-up</t>
  </si>
  <si>
    <t>Slot upgrade window</t>
  </si>
  <si>
    <t>Can upgrade any existing slot</t>
  </si>
  <si>
    <t>Fourth skill slot</t>
  </si>
  <si>
    <t>Rare+</t>
  </si>
  <si>
    <t>Rare+ unlocks higher quality</t>
  </si>
  <si>
    <t>Lv 20</t>
  </si>
  <si>
    <t>Second upgrade window</t>
  </si>
  <si>
    <t>Lv 25</t>
  </si>
  <si>
    <t>Rare minimum enforced for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</si>
</sst>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#"/>
    <numFmt numFmtId="165" formatCode="0.0%"/>
  </numFmts>
  <fonts count="2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595959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1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1F4E79"/>
      <name val="Arial"/>
      <family val="2"/>
    </font>
    <font>
      <sz val="9"/>
      <color rgb="FFA32D2D"/>
      <name val="Arial"/>
      <family val="2"/>
    </font>
    <font>
      <b/>
      <sz val="10"/>
      <color rgb="FF1F4E79"/>
      <name val="Arial"/>
      <family val="2"/>
    </font>
    <font>
      <b/>
      <sz val="10"/>
      <color rgb="FF375623"/>
      <name val="Arial"/>
      <family val="2"/>
    </font>
    <font>
      <b/>
      <sz val="10"/>
      <color rgb="FF833C00"/>
      <name val="Arial"/>
      <family val="2"/>
    </font>
    <font>
      <b/>
      <sz val="10"/>
      <color rgb="FF276221"/>
      <name val="Arial"/>
      <family val="2"/>
    </font>
    <font>
      <sz val="10"/>
      <color rgb="FF276221"/>
      <name val="Arial"/>
      <family val="2"/>
    </font>
    <font>
      <b/>
      <sz val="10"/>
      <color rgb="FF9C5700"/>
      <name val="Arial"/>
      <family val="2"/>
    </font>
    <font>
      <sz val="10"/>
      <color rgb="FF9C5700"/>
      <name val="Arial"/>
      <family val="2"/>
    </font>
    <font>
      <b/>
      <sz val="10"/>
      <color rgb="FF9C0006"/>
      <name val="Arial"/>
      <family val="2"/>
    </font>
    <font>
      <sz val="10"/>
      <color rgb="FF9C0006"/>
      <name val="Arial"/>
      <family val="2"/>
    </font>
    <font>
      <sz val="10"/>
      <color rgb="FF1F4E79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1F4E79"/>
        <bgColor rgb="FF2E4057"/>
      </patternFill>
    </fill>
    <fill>
      <patternFill patternType="solid">
        <fgColor rgb="FF2E75B6"/>
        <bgColor rgb="FF0070C0"/>
      </patternFill>
    </fill>
    <fill>
      <patternFill patternType="solid">
        <fgColor rgb="FFD9E1F2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D9E1F2"/>
      </patternFill>
    </fill>
    <fill>
      <patternFill patternType="solid">
        <fgColor rgb="FFC6EFCE"/>
        <bgColor rgb="FFE2EFDA"/>
      </patternFill>
    </fill>
    <fill>
      <patternFill patternType="solid">
        <fgColor rgb="FFBDD7EE"/>
        <bgColor rgb="FFD9D9D9"/>
      </patternFill>
    </fill>
    <fill>
      <patternFill patternType="solid">
        <fgColor rgb="FF00B0F0"/>
        <bgColor rgb="FF33CCCC"/>
      </patternFill>
    </fill>
    <fill>
      <patternFill patternType="solid">
        <fgColor rgb="FF0070C0"/>
        <bgColor rgb="FF008080"/>
      </patternFill>
    </fill>
    <fill>
      <patternFill patternType="solid">
        <fgColor rgb="FF7030A0"/>
        <bgColor rgb="FF800080"/>
      </patternFill>
    </fill>
    <fill>
      <patternFill patternType="solid">
        <fgColor rgb="FFFF0000"/>
        <bgColor rgb="FF9C0006"/>
      </patternFill>
    </fill>
    <fill>
      <patternFill patternType="solid">
        <fgColor rgb="FF000000"/>
        <bgColor rgb="FF003300"/>
      </patternFill>
    </fill>
    <fill>
      <patternFill patternType="solid">
        <fgColor rgb="FFF2F2F2"/>
        <bgColor rgb="FFEAF0FB"/>
      </patternFill>
    </fill>
    <fill>
      <patternFill patternType="solid">
        <fgColor rgb="FFE2EFDA"/>
        <bgColor rgb="FFDEEAF1"/>
      </patternFill>
    </fill>
    <fill>
      <patternFill patternType="solid">
        <fgColor rgb="FFDEEAF1"/>
        <bgColor rgb="FFD9E1F2"/>
      </patternFill>
    </fill>
    <fill>
      <patternFill patternType="solid">
        <fgColor rgb="FFFFF2CC"/>
        <bgColor rgb="FFF2F2F2"/>
      </patternFill>
    </fill>
    <fill>
      <patternFill patternType="solid">
        <fgColor rgb="FF375623"/>
        <bgColor rgb="FF276221"/>
      </patternFill>
    </fill>
    <fill>
      <patternFill patternType="solid">
        <fgColor rgb="FF833C00"/>
        <bgColor rgb="FF9C5700"/>
      </patternFill>
    </fill>
    <fill>
      <patternFill patternType="solid">
        <fgColor rgb="FF2E4057"/>
        <bgColor rgb="FF1F4E79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D9D9D9"/>
      </patternFill>
    </fill>
    <fill>
      <patternFill patternType="solid">
        <fgColor rgb="FFEAF0FB"/>
        <b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 wrapText="1"/>
    </xf>
    <xf numFmtId="0" fontId="23" fillId="5" borderId="1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 wrapText="1"/>
    </xf>
    <xf numFmtId="0" fontId="23" fillId="4" borderId="1" xfId="0" applyFont="1" applyFill="1" applyBorder="1" applyAlignment="1">
      <alignment horizontal="left" vertical="center"/>
    </xf>
    <xf numFmtId="0" fontId="1" fillId="20" borderId="1" xfId="0" applyFont="1" applyFill="1" applyBorder="1" applyAlignment="1">
      <alignment horizontal="left" vertical="center"/>
    </xf>
    <xf numFmtId="0" fontId="1" fillId="19" borderId="1" xfId="0" applyFont="1" applyFill="1" applyBorder="1" applyAlignment="1">
      <alignment horizontal="left" vertical="center"/>
    </xf>
    <xf numFmtId="0" fontId="1" fillId="18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4" fontId="4" fillId="4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right" vertical="center"/>
    </xf>
    <xf numFmtId="0" fontId="6" fillId="4" borderId="0" xfId="0" applyFont="1" applyFill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4" fontId="4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left" vertical="center" wrapText="1"/>
    </xf>
    <xf numFmtId="2" fontId="5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3" fontId="4" fillId="14" borderId="1" xfId="0" applyNumberFormat="1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3" fontId="4" fillId="14" borderId="1" xfId="0" applyNumberFormat="1" applyFont="1" applyFill="1" applyBorder="1" applyAlignment="1">
      <alignment horizontal="right" vertical="center"/>
    </xf>
    <xf numFmtId="3" fontId="4" fillId="15" borderId="1" xfId="0" applyNumberFormat="1" applyFont="1" applyFill="1" applyBorder="1" applyAlignment="1">
      <alignment horizontal="center"/>
    </xf>
    <xf numFmtId="0" fontId="9" fillId="15" borderId="1" xfId="0" applyFont="1" applyFill="1" applyBorder="1" applyAlignment="1">
      <alignment horizontal="center"/>
    </xf>
    <xf numFmtId="3" fontId="4" fillId="15" borderId="1" xfId="0" applyNumberFormat="1" applyFont="1" applyFill="1" applyBorder="1" applyAlignment="1">
      <alignment horizontal="right" vertical="center"/>
    </xf>
    <xf numFmtId="3" fontId="4" fillId="16" borderId="1" xfId="0" applyNumberFormat="1" applyFont="1" applyFill="1" applyBorder="1" applyAlignment="1">
      <alignment horizontal="center"/>
    </xf>
    <xf numFmtId="0" fontId="9" fillId="16" borderId="1" xfId="0" applyFont="1" applyFill="1" applyBorder="1" applyAlignment="1">
      <alignment horizontal="center"/>
    </xf>
    <xf numFmtId="3" fontId="4" fillId="16" borderId="1" xfId="0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3" fontId="11" fillId="4" borderId="1" xfId="0" applyNumberFormat="1" applyFont="1" applyFill="1" applyBorder="1" applyAlignment="1">
      <alignment horizontal="right" vertical="center"/>
    </xf>
    <xf numFmtId="3" fontId="12" fillId="4" borderId="1" xfId="0" applyNumberFormat="1" applyFont="1" applyFill="1" applyBorder="1" applyAlignment="1">
      <alignment horizontal="right" vertical="center"/>
    </xf>
    <xf numFmtId="3" fontId="13" fillId="5" borderId="1" xfId="0" applyNumberFormat="1" applyFont="1" applyFill="1" applyBorder="1" applyAlignment="1">
      <alignment horizontal="right" vertical="center"/>
    </xf>
    <xf numFmtId="3" fontId="11" fillId="5" borderId="1" xfId="0" applyNumberFormat="1" applyFont="1" applyFill="1" applyBorder="1" applyAlignment="1">
      <alignment horizontal="right" vertical="center"/>
    </xf>
    <xf numFmtId="3" fontId="12" fillId="5" borderId="1" xfId="0" applyNumberFormat="1" applyFont="1" applyFill="1" applyBorder="1" applyAlignment="1">
      <alignment horizontal="right" vertical="center"/>
    </xf>
    <xf numFmtId="3" fontId="13" fillId="4" borderId="1" xfId="0" applyNumberFormat="1" applyFont="1" applyFill="1" applyBorder="1" applyAlignment="1">
      <alignment horizontal="right" vertical="center"/>
    </xf>
    <xf numFmtId="164" fontId="5" fillId="17" borderId="1" xfId="0" applyNumberFormat="1" applyFont="1" applyFill="1" applyBorder="1" applyAlignment="1">
      <alignment horizontal="right" vertical="center"/>
    </xf>
    <xf numFmtId="0" fontId="5" fillId="17" borderId="1" xfId="0" applyFont="1" applyFill="1" applyBorder="1" applyAlignment="1">
      <alignment horizontal="right" vertical="center"/>
    </xf>
    <xf numFmtId="1" fontId="7" fillId="1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right" vertical="center"/>
    </xf>
    <xf numFmtId="1" fontId="5" fillId="17" borderId="1" xfId="0" applyNumberFormat="1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left" vertical="center"/>
    </xf>
    <xf numFmtId="3" fontId="14" fillId="4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left" vertical="center"/>
    </xf>
    <xf numFmtId="3" fontId="15" fillId="5" borderId="1" xfId="0" applyNumberFormat="1" applyFont="1" applyFill="1" applyBorder="1" applyAlignment="1">
      <alignment horizontal="right" vertical="center"/>
    </xf>
    <xf numFmtId="3" fontId="7" fillId="4" borderId="1" xfId="0" applyNumberFormat="1" applyFont="1" applyFill="1" applyBorder="1" applyAlignment="1">
      <alignment horizontal="right" vertical="center"/>
    </xf>
    <xf numFmtId="3" fontId="16" fillId="4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9" fontId="3" fillId="5" borderId="1" xfId="0" applyNumberFormat="1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/>
    </xf>
    <xf numFmtId="0" fontId="18" fillId="7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left" vertical="center"/>
    </xf>
    <xf numFmtId="0" fontId="19" fillId="21" borderId="1" xfId="0" applyFont="1" applyFill="1" applyBorder="1" applyAlignment="1">
      <alignment horizontal="left" vertical="center"/>
    </xf>
    <xf numFmtId="0" fontId="20" fillId="21" borderId="1" xfId="0" applyFont="1" applyFill="1" applyBorder="1" applyAlignment="1">
      <alignment horizontal="center" vertical="center"/>
    </xf>
    <xf numFmtId="0" fontId="20" fillId="21" borderId="1" xfId="0" applyFont="1" applyFill="1" applyBorder="1" applyAlignment="1">
      <alignment horizontal="left" vertical="center"/>
    </xf>
    <xf numFmtId="0" fontId="21" fillId="22" borderId="1" xfId="0" applyFont="1" applyFill="1" applyBorder="1" applyAlignment="1">
      <alignment horizontal="left" vertical="center"/>
    </xf>
    <xf numFmtId="0" fontId="22" fillId="22" borderId="1" xfId="0" applyFont="1" applyFill="1" applyBorder="1" applyAlignment="1">
      <alignment horizontal="center" vertical="center"/>
    </xf>
    <xf numFmtId="0" fontId="22" fillId="2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9" fontId="5" fillId="17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center" vertical="center"/>
    </xf>
    <xf numFmtId="9" fontId="9" fillId="4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/>
    <xf numFmtId="9" fontId="14" fillId="4" borderId="1" xfId="0" applyNumberFormat="1" applyFont="1" applyFill="1" applyBorder="1"/>
    <xf numFmtId="0" fontId="3" fillId="15" borderId="1" xfId="0" applyFont="1" applyFill="1" applyBorder="1" applyAlignment="1">
      <alignment horizontal="left" vertical="center"/>
    </xf>
    <xf numFmtId="9" fontId="3" fillId="15" borderId="1" xfId="0" applyNumberFormat="1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left" vertical="center"/>
    </xf>
    <xf numFmtId="9" fontId="3" fillId="23" borderId="1" xfId="0" applyNumberFormat="1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left" vertical="center"/>
    </xf>
    <xf numFmtId="9" fontId="3" fillId="1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9" fontId="3" fillId="7" borderId="1" xfId="0" applyNumberFormat="1" applyFont="1" applyFill="1" applyBorder="1" applyAlignment="1">
      <alignment horizontal="center" vertical="center"/>
    </xf>
    <xf numFmtId="0" fontId="9" fillId="21" borderId="1" xfId="0" applyFont="1" applyFill="1" applyBorder="1" applyAlignment="1">
      <alignment horizontal="left" vertical="center"/>
    </xf>
    <xf numFmtId="0" fontId="3" fillId="21" borderId="1" xfId="0" applyFont="1" applyFill="1" applyBorder="1" applyAlignment="1">
      <alignment horizontal="left" vertical="center"/>
    </xf>
    <xf numFmtId="9" fontId="3" fillId="21" borderId="1" xfId="0" applyNumberFormat="1" applyFont="1" applyFill="1" applyBorder="1" applyAlignment="1">
      <alignment horizontal="center" vertical="center"/>
    </xf>
    <xf numFmtId="0" fontId="9" fillId="22" borderId="1" xfId="0" applyFont="1" applyFill="1" applyBorder="1" applyAlignment="1">
      <alignment horizontal="left" vertical="center"/>
    </xf>
    <xf numFmtId="0" fontId="3" fillId="22" borderId="1" xfId="0" applyFont="1" applyFill="1" applyBorder="1" applyAlignment="1">
      <alignment horizontal="left" vertical="center"/>
    </xf>
    <xf numFmtId="9" fontId="3" fillId="22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3" fontId="15" fillId="4" borderId="1" xfId="0" applyNumberFormat="1" applyFont="1" applyFill="1" applyBorder="1" applyAlignment="1">
      <alignment horizontal="right" vertical="center"/>
    </xf>
    <xf numFmtId="3" fontId="14" fillId="5" borderId="1" xfId="0" applyNumberFormat="1" applyFont="1" applyFill="1" applyBorder="1" applyAlignment="1">
      <alignment horizontal="right" vertical="center"/>
    </xf>
    <xf numFmtId="0" fontId="9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9C5700"/>
      <rgbColor rgb="FF800080"/>
      <rgbColor rgb="FF008080"/>
      <rgbColor rgb="FFD9D9D9"/>
      <rgbColor rgb="FF808080"/>
      <rgbColor rgb="FF9999FF"/>
      <rgbColor rgb="FFA32D2D"/>
      <rgbColor rgb="FFFFF2CC"/>
      <rgbColor rgb="FFDEEAF1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EAF0FB"/>
      <rgbColor rgb="FFC6EFCE"/>
      <rgbColor rgb="FFFFEB9C"/>
      <rgbColor rgb="FFD9E1F2"/>
      <rgbColor rgb="FFE2EFDA"/>
      <rgbColor rgb="FFF2F2F2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75623"/>
      <rgbColor rgb="FF833C00"/>
      <rgbColor rgb="FF7030A0"/>
      <rgbColor rgb="FF1F4E7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zoomScaleNormal="100" workbookViewId="0">
      <selection sqref="A1:D1"/>
    </sheetView>
  </sheetViews>
  <sheetFormatPr baseColWidth="10" defaultColWidth="8.6640625" defaultRowHeight="15" x14ac:dyDescent="0.2"/>
  <cols>
    <col min="1" max="1" width="32" customWidth="1"/>
    <col min="2" max="2" width="8" customWidth="1"/>
    <col min="3" max="3" width="12" customWidth="1"/>
    <col min="4" max="4" width="48" customWidth="1"/>
  </cols>
  <sheetData>
    <row r="1" spans="1:4" ht="30" customHeight="1" x14ac:dyDescent="0.2">
      <c r="A1" s="12" t="s">
        <v>0</v>
      </c>
      <c r="B1" s="12"/>
      <c r="C1" s="12"/>
      <c r="D1" s="12"/>
    </row>
    <row r="2" spans="1:4" ht="15" customHeight="1" x14ac:dyDescent="0.2">
      <c r="A2" s="13" t="s">
        <v>1</v>
      </c>
      <c r="B2" s="13" t="s">
        <v>2</v>
      </c>
      <c r="C2" s="13" t="s">
        <v>3</v>
      </c>
      <c r="D2" s="13" t="s">
        <v>4</v>
      </c>
    </row>
    <row r="3" spans="1:4" ht="15" customHeight="1" x14ac:dyDescent="0.2">
      <c r="A3" s="14" t="s">
        <v>5</v>
      </c>
      <c r="B3" s="15" t="s">
        <v>6</v>
      </c>
      <c r="C3" s="16">
        <v>1.65</v>
      </c>
      <c r="D3" s="17" t="s">
        <v>7</v>
      </c>
    </row>
    <row r="4" spans="1:4" ht="15" customHeight="1" x14ac:dyDescent="0.2">
      <c r="A4" s="18" t="s">
        <v>8</v>
      </c>
      <c r="B4" s="19" t="s">
        <v>9</v>
      </c>
      <c r="C4" s="20">
        <v>100</v>
      </c>
      <c r="D4" s="21" t="s">
        <v>10</v>
      </c>
    </row>
    <row r="5" spans="1:4" ht="15" customHeight="1" x14ac:dyDescent="0.2">
      <c r="A5" s="14" t="s">
        <v>11</v>
      </c>
      <c r="B5" s="15" t="s">
        <v>12</v>
      </c>
      <c r="C5" s="16">
        <v>1.35</v>
      </c>
      <c r="D5" s="17" t="s">
        <v>7</v>
      </c>
    </row>
    <row r="6" spans="1:4" ht="15" customHeight="1" x14ac:dyDescent="0.2">
      <c r="A6" s="18" t="s">
        <v>13</v>
      </c>
      <c r="B6" s="19" t="s">
        <v>14</v>
      </c>
      <c r="C6" s="20">
        <v>10</v>
      </c>
      <c r="D6" s="21" t="s">
        <v>10</v>
      </c>
    </row>
    <row r="7" spans="1:4" ht="15" customHeight="1" x14ac:dyDescent="0.2">
      <c r="A7" s="14" t="s">
        <v>15</v>
      </c>
      <c r="B7" s="15" t="s">
        <v>16</v>
      </c>
      <c r="C7" s="16">
        <v>0.6</v>
      </c>
      <c r="D7" s="17" t="s">
        <v>17</v>
      </c>
    </row>
    <row r="8" spans="1:4" ht="15" customHeight="1" x14ac:dyDescent="0.2">
      <c r="A8" s="18" t="s">
        <v>18</v>
      </c>
      <c r="B8" s="19" t="s">
        <v>16</v>
      </c>
      <c r="C8" s="22">
        <v>0.4</v>
      </c>
      <c r="D8" s="21" t="s">
        <v>17</v>
      </c>
    </row>
    <row r="9" spans="1:4" ht="15" customHeight="1" x14ac:dyDescent="0.2">
      <c r="A9" s="14" t="s">
        <v>19</v>
      </c>
      <c r="B9" s="15" t="s">
        <v>16</v>
      </c>
      <c r="C9" s="16">
        <v>0.2</v>
      </c>
      <c r="D9" s="17" t="s">
        <v>20</v>
      </c>
    </row>
    <row r="10" spans="1:4" ht="15" customHeight="1" x14ac:dyDescent="0.2">
      <c r="A10" s="18" t="s">
        <v>21</v>
      </c>
      <c r="B10" s="19" t="s">
        <v>16</v>
      </c>
      <c r="C10" s="22">
        <v>0.8</v>
      </c>
      <c r="D10" s="21" t="s">
        <v>20</v>
      </c>
    </row>
    <row r="11" spans="1:4" ht="15" customHeight="1" x14ac:dyDescent="0.2">
      <c r="A11" s="14" t="s">
        <v>22</v>
      </c>
      <c r="B11" s="15" t="s">
        <v>16</v>
      </c>
      <c r="C11" s="16">
        <v>0</v>
      </c>
      <c r="D11" s="17" t="s">
        <v>23</v>
      </c>
    </row>
    <row r="12" spans="1:4" ht="15" customHeight="1" x14ac:dyDescent="0.2">
      <c r="A12" s="18" t="s">
        <v>24</v>
      </c>
      <c r="B12" s="19" t="s">
        <v>16</v>
      </c>
      <c r="C12" s="22">
        <v>1</v>
      </c>
      <c r="D12" s="21" t="s">
        <v>23</v>
      </c>
    </row>
    <row r="13" spans="1:4" ht="15" customHeight="1" x14ac:dyDescent="0.2">
      <c r="A13" s="14" t="s">
        <v>25</v>
      </c>
      <c r="B13" s="15" t="s">
        <v>16</v>
      </c>
      <c r="C13" s="16">
        <v>0.4</v>
      </c>
      <c r="D13" s="17" t="s">
        <v>26</v>
      </c>
    </row>
    <row r="14" spans="1:4" ht="15" customHeight="1" x14ac:dyDescent="0.2">
      <c r="A14" s="18" t="s">
        <v>27</v>
      </c>
      <c r="B14" s="19" t="s">
        <v>16</v>
      </c>
      <c r="C14" s="22">
        <v>0.35</v>
      </c>
      <c r="D14" s="21" t="s">
        <v>28</v>
      </c>
    </row>
    <row r="15" spans="1:4" ht="15" customHeight="1" x14ac:dyDescent="0.2">
      <c r="A15" s="14" t="s">
        <v>29</v>
      </c>
      <c r="B15" s="15" t="s">
        <v>16</v>
      </c>
      <c r="C15" s="16">
        <v>0.65</v>
      </c>
      <c r="D15" s="17" t="s">
        <v>28</v>
      </c>
    </row>
    <row r="16" spans="1:4" ht="15" customHeight="1" x14ac:dyDescent="0.2">
      <c r="A16" s="18" t="s">
        <v>30</v>
      </c>
      <c r="B16" s="19" t="s">
        <v>16</v>
      </c>
      <c r="C16" s="22">
        <v>0.05</v>
      </c>
      <c r="D16" s="21" t="s">
        <v>31</v>
      </c>
    </row>
    <row r="17" spans="1:4" ht="15" customHeight="1" x14ac:dyDescent="0.2">
      <c r="A17" s="11" t="s">
        <v>32</v>
      </c>
      <c r="B17" s="11"/>
      <c r="C17" s="11"/>
      <c r="D17" s="11"/>
    </row>
  </sheetData>
  <mergeCells count="2">
    <mergeCell ref="A1:D1"/>
    <mergeCell ref="A17:D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zoomScaleNormal="100" workbookViewId="0"/>
  </sheetViews>
  <sheetFormatPr baseColWidth="10" defaultColWidth="8.6640625" defaultRowHeight="15" x14ac:dyDescent="0.2"/>
  <cols>
    <col min="1" max="1" width="8" customWidth="1"/>
    <col min="2" max="2" width="14" customWidth="1"/>
    <col min="3" max="3" width="12" customWidth="1"/>
    <col min="4" max="4" width="16" customWidth="1"/>
    <col min="5" max="5" width="18" customWidth="1"/>
    <col min="6" max="7" width="14" customWidth="1"/>
  </cols>
  <sheetData>
    <row r="1" spans="1:7" ht="30" customHeight="1" x14ac:dyDescent="0.2">
      <c r="A1" s="12" t="s">
        <v>33</v>
      </c>
      <c r="B1" s="12"/>
      <c r="C1" s="12"/>
      <c r="D1" s="12"/>
      <c r="E1" s="12"/>
      <c r="F1" s="12"/>
      <c r="G1" s="12"/>
    </row>
    <row r="2" spans="1:7" ht="15" customHeight="1" x14ac:dyDescent="0.2">
      <c r="A2" s="13" t="s">
        <v>34</v>
      </c>
      <c r="B2" s="13" t="s">
        <v>35</v>
      </c>
      <c r="C2" s="13" t="s">
        <v>36</v>
      </c>
      <c r="D2" s="13" t="s">
        <v>37</v>
      </c>
      <c r="E2" s="13" t="s">
        <v>38</v>
      </c>
      <c r="F2" s="13" t="s">
        <v>39</v>
      </c>
      <c r="G2" s="13" t="s">
        <v>40</v>
      </c>
    </row>
    <row r="3" spans="1:7" ht="15" customHeight="1" x14ac:dyDescent="0.2">
      <c r="A3" s="23" t="s">
        <v>41</v>
      </c>
      <c r="B3" s="24" t="s">
        <v>42</v>
      </c>
      <c r="C3" s="24">
        <v>10</v>
      </c>
      <c r="D3" s="24">
        <v>10</v>
      </c>
      <c r="E3" s="24" t="s">
        <v>43</v>
      </c>
      <c r="F3" s="24">
        <v>50</v>
      </c>
      <c r="G3" s="24">
        <v>60</v>
      </c>
    </row>
    <row r="4" spans="1:7" ht="15" customHeight="1" x14ac:dyDescent="0.2">
      <c r="A4" s="25" t="s">
        <v>44</v>
      </c>
      <c r="B4" s="26" t="s">
        <v>45</v>
      </c>
      <c r="C4" s="26">
        <v>15</v>
      </c>
      <c r="D4" s="26">
        <v>25</v>
      </c>
      <c r="E4" s="26" t="s">
        <v>43</v>
      </c>
      <c r="F4" s="26">
        <v>50</v>
      </c>
      <c r="G4" s="26">
        <v>75</v>
      </c>
    </row>
    <row r="5" spans="1:7" ht="15" customHeight="1" x14ac:dyDescent="0.2">
      <c r="A5" s="27" t="s">
        <v>46</v>
      </c>
      <c r="B5" s="28" t="s">
        <v>47</v>
      </c>
      <c r="C5" s="28">
        <v>25</v>
      </c>
      <c r="D5" s="28">
        <v>50</v>
      </c>
      <c r="E5" s="28" t="s">
        <v>43</v>
      </c>
      <c r="F5" s="28">
        <v>50</v>
      </c>
      <c r="G5" s="28">
        <v>100</v>
      </c>
    </row>
    <row r="6" spans="1:7" ht="15" customHeight="1" x14ac:dyDescent="0.2">
      <c r="A6" s="29" t="s">
        <v>48</v>
      </c>
      <c r="B6" s="30" t="s">
        <v>49</v>
      </c>
      <c r="C6" s="30">
        <v>40</v>
      </c>
      <c r="D6" s="30">
        <v>90</v>
      </c>
      <c r="E6" s="30" t="s">
        <v>50</v>
      </c>
      <c r="F6" s="30">
        <v>100</v>
      </c>
      <c r="G6" s="30">
        <v>190</v>
      </c>
    </row>
    <row r="7" spans="1:7" ht="15" customHeight="1" x14ac:dyDescent="0.2">
      <c r="A7" s="31" t="s">
        <v>51</v>
      </c>
      <c r="B7" s="32" t="s">
        <v>52</v>
      </c>
      <c r="C7" s="32">
        <v>60</v>
      </c>
      <c r="D7" s="32">
        <v>150</v>
      </c>
      <c r="E7" s="32" t="s">
        <v>50</v>
      </c>
      <c r="F7" s="32">
        <v>100</v>
      </c>
      <c r="G7" s="32">
        <v>250</v>
      </c>
    </row>
    <row r="8" spans="1:7" ht="15" customHeight="1" x14ac:dyDescent="0.2">
      <c r="A8" s="33" t="s">
        <v>53</v>
      </c>
      <c r="B8" s="34" t="s">
        <v>54</v>
      </c>
      <c r="C8" s="34">
        <v>70</v>
      </c>
      <c r="D8" s="34">
        <v>220</v>
      </c>
      <c r="E8" s="34" t="s">
        <v>55</v>
      </c>
      <c r="F8" s="34">
        <v>150</v>
      </c>
      <c r="G8" s="34">
        <v>370</v>
      </c>
    </row>
    <row r="9" spans="1:7" ht="15" customHeight="1" x14ac:dyDescent="0.2">
      <c r="A9" s="35" t="s">
        <v>56</v>
      </c>
      <c r="B9" s="36" t="s">
        <v>57</v>
      </c>
      <c r="C9" s="36">
        <v>80</v>
      </c>
      <c r="D9" s="36">
        <v>300</v>
      </c>
      <c r="E9" s="36" t="s">
        <v>55</v>
      </c>
      <c r="F9" s="36">
        <v>150</v>
      </c>
      <c r="G9" s="36">
        <v>450</v>
      </c>
    </row>
    <row r="10" spans="1:7" ht="15" customHeight="1" x14ac:dyDescent="0.2">
      <c r="A10" s="33" t="s">
        <v>58</v>
      </c>
      <c r="B10" s="34" t="s">
        <v>59</v>
      </c>
      <c r="C10" s="34">
        <v>200</v>
      </c>
      <c r="D10" s="34">
        <v>500</v>
      </c>
      <c r="E10" s="34" t="s">
        <v>60</v>
      </c>
      <c r="F10" s="34">
        <v>200</v>
      </c>
      <c r="G10" s="34">
        <v>700</v>
      </c>
    </row>
    <row r="11" spans="1:7" ht="15" customHeight="1" x14ac:dyDescent="0.2">
      <c r="A11" s="37" t="s">
        <v>61</v>
      </c>
      <c r="B11" s="38" t="s">
        <v>62</v>
      </c>
      <c r="C11" s="38" t="s">
        <v>63</v>
      </c>
      <c r="D11" s="38" t="s">
        <v>63</v>
      </c>
      <c r="E11" s="38" t="s">
        <v>64</v>
      </c>
      <c r="F11" s="38" t="s">
        <v>63</v>
      </c>
      <c r="G11" s="38" t="s">
        <v>63</v>
      </c>
    </row>
    <row r="13" spans="1:7" ht="15" customHeight="1" x14ac:dyDescent="0.2">
      <c r="A13" s="11" t="s">
        <v>65</v>
      </c>
      <c r="B13" s="11"/>
      <c r="C13" s="11"/>
      <c r="D13" s="11"/>
      <c r="E13" s="11"/>
      <c r="F13" s="11"/>
      <c r="G13" s="11"/>
    </row>
  </sheetData>
  <mergeCells count="2">
    <mergeCell ref="A1:G1"/>
    <mergeCell ref="A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"/>
  <sheetViews>
    <sheetView tabSelected="1" zoomScaleNormal="100" workbookViewId="0">
      <selection sqref="A1:F1"/>
    </sheetView>
  </sheetViews>
  <sheetFormatPr baseColWidth="10" defaultColWidth="8.6640625" defaultRowHeight="15" x14ac:dyDescent="0.2"/>
  <cols>
    <col min="1" max="1" width="16" customWidth="1"/>
    <col min="2" max="2" width="8" customWidth="1"/>
    <col min="3" max="3" width="18" customWidth="1"/>
    <col min="4" max="5" width="22" customWidth="1"/>
    <col min="6" max="6" width="14" customWidth="1"/>
  </cols>
  <sheetData>
    <row r="1" spans="1:6" ht="30" customHeight="1" x14ac:dyDescent="0.2">
      <c r="A1" s="10" t="s">
        <v>66</v>
      </c>
      <c r="B1" s="10"/>
      <c r="C1" s="10"/>
      <c r="D1" s="10"/>
      <c r="E1" s="10"/>
      <c r="F1" s="10"/>
    </row>
    <row r="2" spans="1:6" ht="15" customHeight="1" x14ac:dyDescent="0.2">
      <c r="A2" s="11" t="s">
        <v>67</v>
      </c>
      <c r="B2" s="11"/>
      <c r="C2" s="11"/>
      <c r="D2" s="11"/>
      <c r="E2" s="11"/>
      <c r="F2" s="11"/>
    </row>
    <row r="3" spans="1:6" ht="15" customHeight="1" x14ac:dyDescent="0.2">
      <c r="A3" s="13" t="s">
        <v>68</v>
      </c>
      <c r="B3" s="13" t="s">
        <v>34</v>
      </c>
      <c r="C3" s="13" t="s">
        <v>69</v>
      </c>
      <c r="D3" s="13" t="s">
        <v>70</v>
      </c>
    </row>
    <row r="4" spans="1:6" ht="15" customHeight="1" x14ac:dyDescent="0.2">
      <c r="A4" s="39">
        <v>1</v>
      </c>
      <c r="B4" s="40" t="s">
        <v>41</v>
      </c>
      <c r="C4" s="41">
        <f>1^Assumptions!$C$3*Assumptions!$C$4</f>
        <v>100</v>
      </c>
      <c r="D4" s="41">
        <f>C4</f>
        <v>100</v>
      </c>
    </row>
    <row r="5" spans="1:6" ht="15" customHeight="1" x14ac:dyDescent="0.2">
      <c r="A5" s="39">
        <v>2</v>
      </c>
      <c r="B5" s="40" t="s">
        <v>41</v>
      </c>
      <c r="C5" s="41">
        <f>2^Assumptions!$C$3*Assumptions!$C$4</f>
        <v>313.83363915870024</v>
      </c>
      <c r="D5" s="41">
        <f t="shared" ref="D5:D36" si="0">D4+C5</f>
        <v>413.83363915870024</v>
      </c>
    </row>
    <row r="6" spans="1:6" ht="15" customHeight="1" x14ac:dyDescent="0.2">
      <c r="A6" s="39">
        <v>3</v>
      </c>
      <c r="B6" s="40" t="s">
        <v>41</v>
      </c>
      <c r="C6" s="41">
        <f>3^Assumptions!$C$3*Assumptions!$C$4</f>
        <v>612.70308958360533</v>
      </c>
      <c r="D6" s="41">
        <f t="shared" si="0"/>
        <v>1026.5367287423055</v>
      </c>
    </row>
    <row r="7" spans="1:6" ht="15" customHeight="1" x14ac:dyDescent="0.2">
      <c r="A7" s="39">
        <v>4</v>
      </c>
      <c r="B7" s="40" t="s">
        <v>41</v>
      </c>
      <c r="C7" s="41">
        <f>4^Assumptions!$C$3*Assumptions!$C$4</f>
        <v>984.91553067593281</v>
      </c>
      <c r="D7" s="41">
        <f t="shared" si="0"/>
        <v>2011.4522594182383</v>
      </c>
    </row>
    <row r="8" spans="1:6" ht="15" customHeight="1" x14ac:dyDescent="0.2">
      <c r="A8" s="39">
        <v>5</v>
      </c>
      <c r="B8" s="40" t="s">
        <v>41</v>
      </c>
      <c r="C8" s="41">
        <f>5^Assumptions!$C$3*Assumptions!$C$4</f>
        <v>1423.313298562882</v>
      </c>
      <c r="D8" s="41">
        <f t="shared" si="0"/>
        <v>3434.7655579811203</v>
      </c>
    </row>
    <row r="9" spans="1:6" ht="15" customHeight="1" x14ac:dyDescent="0.2">
      <c r="A9" s="39">
        <v>6</v>
      </c>
      <c r="B9" s="40" t="s">
        <v>41</v>
      </c>
      <c r="C9" s="41">
        <f>6^Assumptions!$C$3*Assumptions!$C$4</f>
        <v>1922.8684032780197</v>
      </c>
      <c r="D9" s="41">
        <f t="shared" si="0"/>
        <v>5357.6339612591401</v>
      </c>
    </row>
    <row r="10" spans="1:6" ht="15" customHeight="1" x14ac:dyDescent="0.2">
      <c r="A10" s="39">
        <v>7</v>
      </c>
      <c r="B10" s="40" t="s">
        <v>41</v>
      </c>
      <c r="C10" s="41">
        <f>7^Assumptions!$C$3*Assumptions!$C$4</f>
        <v>2479.7720805443023</v>
      </c>
      <c r="D10" s="41">
        <f t="shared" si="0"/>
        <v>7837.4060418034423</v>
      </c>
    </row>
    <row r="11" spans="1:6" ht="15" customHeight="1" x14ac:dyDescent="0.2">
      <c r="A11" s="39">
        <v>8</v>
      </c>
      <c r="B11" s="40" t="s">
        <v>41</v>
      </c>
      <c r="C11" s="41">
        <f>8^Assumptions!$C$3*Assumptions!$C$4</f>
        <v>3090.9962525595047</v>
      </c>
      <c r="D11" s="41">
        <f t="shared" si="0"/>
        <v>10928.402294362946</v>
      </c>
    </row>
    <row r="12" spans="1:6" ht="15" customHeight="1" x14ac:dyDescent="0.2">
      <c r="A12" s="39">
        <v>9</v>
      </c>
      <c r="B12" s="40" t="s">
        <v>41</v>
      </c>
      <c r="C12" s="41">
        <f>9^Assumptions!$C$3*Assumptions!$C$4</f>
        <v>3754.0507598529553</v>
      </c>
      <c r="D12" s="41">
        <f t="shared" si="0"/>
        <v>14682.453054215901</v>
      </c>
    </row>
    <row r="13" spans="1:6" ht="15" customHeight="1" x14ac:dyDescent="0.2">
      <c r="A13" s="39">
        <v>10</v>
      </c>
      <c r="B13" s="40" t="s">
        <v>41</v>
      </c>
      <c r="C13" s="41">
        <f>10^Assumptions!$C$3*Assumptions!$C$4</f>
        <v>4466.8359215096325</v>
      </c>
      <c r="D13" s="41">
        <f t="shared" si="0"/>
        <v>19149.288975725533</v>
      </c>
    </row>
    <row r="14" spans="1:6" ht="15" customHeight="1" x14ac:dyDescent="0.2">
      <c r="A14" s="42">
        <v>11</v>
      </c>
      <c r="B14" s="43" t="s">
        <v>44</v>
      </c>
      <c r="C14" s="44">
        <f>11^Assumptions!$C$3*Assumptions!$C$4</f>
        <v>5227.5468114402593</v>
      </c>
      <c r="D14" s="44">
        <f t="shared" si="0"/>
        <v>24376.835787165794</v>
      </c>
    </row>
    <row r="15" spans="1:6" ht="15" customHeight="1" x14ac:dyDescent="0.2">
      <c r="A15" s="42">
        <v>12</v>
      </c>
      <c r="B15" s="43" t="s">
        <v>44</v>
      </c>
      <c r="C15" s="44">
        <f>12^Assumptions!$C$3*Assumptions!$C$4</f>
        <v>6034.6078862402001</v>
      </c>
      <c r="D15" s="44">
        <f t="shared" si="0"/>
        <v>30411.443673405993</v>
      </c>
    </row>
    <row r="16" spans="1:6" ht="15" customHeight="1" x14ac:dyDescent="0.2">
      <c r="A16" s="42">
        <v>13</v>
      </c>
      <c r="B16" s="43" t="s">
        <v>44</v>
      </c>
      <c r="C16" s="44">
        <f>13^Assumptions!$C$3*Assumptions!$C$4</f>
        <v>6886.6265298723774</v>
      </c>
      <c r="D16" s="44">
        <f t="shared" si="0"/>
        <v>37298.070203278374</v>
      </c>
    </row>
    <row r="17" spans="1:4" ht="15" customHeight="1" x14ac:dyDescent="0.2">
      <c r="A17" s="42">
        <v>14</v>
      </c>
      <c r="B17" s="43" t="s">
        <v>44</v>
      </c>
      <c r="C17" s="44">
        <f>14^Assumptions!$C$3*Assumptions!$C$4</f>
        <v>7782.3589632136009</v>
      </c>
      <c r="D17" s="44">
        <f t="shared" si="0"/>
        <v>45080.429166491973</v>
      </c>
    </row>
    <row r="18" spans="1:4" ht="15" customHeight="1" x14ac:dyDescent="0.2">
      <c r="A18" s="42">
        <v>15</v>
      </c>
      <c r="B18" s="43" t="s">
        <v>44</v>
      </c>
      <c r="C18" s="44">
        <f>15^Assumptions!$C$3*Assumptions!$C$4</f>
        <v>8720.684554749103</v>
      </c>
      <c r="D18" s="44">
        <f t="shared" si="0"/>
        <v>53801.113721241076</v>
      </c>
    </row>
    <row r="19" spans="1:4" ht="15" customHeight="1" x14ac:dyDescent="0.2">
      <c r="A19" s="42">
        <v>16</v>
      </c>
      <c r="B19" s="43" t="s">
        <v>44</v>
      </c>
      <c r="C19" s="44">
        <f>16^Assumptions!$C$3*Assumptions!$C$4</f>
        <v>9700.5860256665437</v>
      </c>
      <c r="D19" s="44">
        <f t="shared" si="0"/>
        <v>63501.699746907616</v>
      </c>
    </row>
    <row r="20" spans="1:4" ht="15" customHeight="1" x14ac:dyDescent="0.2">
      <c r="A20" s="42">
        <v>17</v>
      </c>
      <c r="B20" s="43" t="s">
        <v>44</v>
      </c>
      <c r="C20" s="44">
        <f>17^Assumptions!$C$3*Assumptions!$C$4</f>
        <v>10721.133904245838</v>
      </c>
      <c r="D20" s="44">
        <f t="shared" si="0"/>
        <v>74222.833651153458</v>
      </c>
    </row>
    <row r="21" spans="1:4" ht="15" customHeight="1" x14ac:dyDescent="0.2">
      <c r="A21" s="42">
        <v>18</v>
      </c>
      <c r="B21" s="43" t="s">
        <v>44</v>
      </c>
      <c r="C21" s="44">
        <f>18^Assumptions!$C$3*Assumptions!$C$4</f>
        <v>11781.474115511366</v>
      </c>
      <c r="D21" s="44">
        <f t="shared" si="0"/>
        <v>86004.307766664831</v>
      </c>
    </row>
    <row r="22" spans="1:4" ht="15" customHeight="1" x14ac:dyDescent="0.2">
      <c r="A22" s="42">
        <v>19</v>
      </c>
      <c r="B22" s="43" t="s">
        <v>44</v>
      </c>
      <c r="C22" s="44">
        <f>19^Assumptions!$C$3*Assumptions!$C$4</f>
        <v>12880.817931142166</v>
      </c>
      <c r="D22" s="44">
        <f t="shared" si="0"/>
        <v>98885.125697807001</v>
      </c>
    </row>
    <row r="23" spans="1:4" ht="15" customHeight="1" x14ac:dyDescent="0.2">
      <c r="A23" s="42">
        <v>20</v>
      </c>
      <c r="B23" s="43" t="s">
        <v>44</v>
      </c>
      <c r="C23" s="44">
        <f>20^Assumptions!$C$3*Assumptions!$C$4</f>
        <v>14018.43372772174</v>
      </c>
      <c r="D23" s="44">
        <f t="shared" si="0"/>
        <v>112903.55942552874</v>
      </c>
    </row>
    <row r="24" spans="1:4" ht="15" customHeight="1" x14ac:dyDescent="0.2">
      <c r="A24" s="42">
        <v>21</v>
      </c>
      <c r="B24" s="43" t="s">
        <v>44</v>
      </c>
      <c r="C24" s="44">
        <f>21^Assumptions!$C$3*Assumptions!$C$4</f>
        <v>15193.640152126596</v>
      </c>
      <c r="D24" s="44">
        <f t="shared" si="0"/>
        <v>128097.19957765534</v>
      </c>
    </row>
    <row r="25" spans="1:4" ht="15" customHeight="1" x14ac:dyDescent="0.2">
      <c r="A25" s="42">
        <v>22</v>
      </c>
      <c r="B25" s="43" t="s">
        <v>44</v>
      </c>
      <c r="C25" s="44">
        <f>22^Assumptions!$C$3*Assumptions!$C$4</f>
        <v>16405.80039706756</v>
      </c>
      <c r="D25" s="44">
        <f t="shared" si="0"/>
        <v>144502.99997472289</v>
      </c>
    </row>
    <row r="26" spans="1:4" ht="15" customHeight="1" x14ac:dyDescent="0.2">
      <c r="A26" s="42">
        <v>23</v>
      </c>
      <c r="B26" s="43" t="s">
        <v>44</v>
      </c>
      <c r="C26" s="44">
        <f>23^Assumptions!$C$3*Assumptions!$C$4</f>
        <v>17654.317363355651</v>
      </c>
      <c r="D26" s="44">
        <f t="shared" si="0"/>
        <v>162157.31733807854</v>
      </c>
    </row>
    <row r="27" spans="1:4" ht="15" customHeight="1" x14ac:dyDescent="0.2">
      <c r="A27" s="42">
        <v>24</v>
      </c>
      <c r="B27" s="43" t="s">
        <v>44</v>
      </c>
      <c r="C27" s="44">
        <f>24^Assumptions!$C$3*Assumptions!$C$4</f>
        <v>18938.629538345551</v>
      </c>
      <c r="D27" s="44">
        <f t="shared" si="0"/>
        <v>181095.9468764241</v>
      </c>
    </row>
    <row r="28" spans="1:4" ht="15" customHeight="1" x14ac:dyDescent="0.2">
      <c r="A28" s="42">
        <v>25</v>
      </c>
      <c r="B28" s="43" t="s">
        <v>44</v>
      </c>
      <c r="C28" s="44">
        <f>25^Assumptions!$C$3*Assumptions!$C$4</f>
        <v>20258.207458659515</v>
      </c>
      <c r="D28" s="44">
        <f t="shared" si="0"/>
        <v>201354.15433508361</v>
      </c>
    </row>
    <row r="29" spans="1:4" ht="15" customHeight="1" x14ac:dyDescent="0.2">
      <c r="A29" s="45">
        <v>26</v>
      </c>
      <c r="B29" s="46" t="s">
        <v>46</v>
      </c>
      <c r="C29" s="47">
        <f>26^Assumptions!$C$3*Assumptions!$C$4</f>
        <v>21612.55065396701</v>
      </c>
      <c r="D29" s="47">
        <f t="shared" si="0"/>
        <v>222966.70498905063</v>
      </c>
    </row>
    <row r="30" spans="1:4" ht="15" customHeight="1" x14ac:dyDescent="0.2">
      <c r="A30" s="45">
        <v>27</v>
      </c>
      <c r="B30" s="46" t="s">
        <v>46</v>
      </c>
      <c r="C30" s="47">
        <f>27^Assumptions!$C$3*Assumptions!$C$4</f>
        <v>23001.184990155871</v>
      </c>
      <c r="D30" s="47">
        <f t="shared" si="0"/>
        <v>245967.88997920649</v>
      </c>
    </row>
    <row r="31" spans="1:4" ht="15" customHeight="1" x14ac:dyDescent="0.2">
      <c r="A31" s="45">
        <v>28</v>
      </c>
      <c r="B31" s="46" t="s">
        <v>46</v>
      </c>
      <c r="C31" s="47">
        <f>28^Assumptions!$C$3*Assumptions!$C$4</f>
        <v>24423.660346646535</v>
      </c>
      <c r="D31" s="47">
        <f t="shared" si="0"/>
        <v>270391.55032585305</v>
      </c>
    </row>
    <row r="32" spans="1:4" ht="15" customHeight="1" x14ac:dyDescent="0.2">
      <c r="A32" s="45">
        <v>30</v>
      </c>
      <c r="B32" s="46" t="s">
        <v>46</v>
      </c>
      <c r="C32" s="47">
        <f>30^Assumptions!$C$3*Assumptions!$C$4</f>
        <v>27368.441697719827</v>
      </c>
      <c r="D32" s="47">
        <f t="shared" si="0"/>
        <v>297759.99202357291</v>
      </c>
    </row>
    <row r="33" spans="1:6" ht="15" customHeight="1" x14ac:dyDescent="0.2">
      <c r="A33" s="45">
        <v>35</v>
      </c>
      <c r="B33" s="46" t="s">
        <v>46</v>
      </c>
      <c r="C33" s="47">
        <f>35^Assumptions!$C$3*Assumptions!$C$4</f>
        <v>35294.925796436532</v>
      </c>
      <c r="D33" s="47">
        <f t="shared" si="0"/>
        <v>333054.91782000946</v>
      </c>
    </row>
    <row r="34" spans="1:6" ht="15" customHeight="1" x14ac:dyDescent="0.2">
      <c r="A34" s="45">
        <v>40</v>
      </c>
      <c r="B34" s="46" t="s">
        <v>46</v>
      </c>
      <c r="C34" s="47">
        <f>40^Assumptions!$C$3*Assumptions!$C$4</f>
        <v>43994.560720759771</v>
      </c>
      <c r="D34" s="47">
        <f t="shared" si="0"/>
        <v>377049.47854076925</v>
      </c>
    </row>
    <row r="35" spans="1:6" ht="15" customHeight="1" x14ac:dyDescent="0.2">
      <c r="A35" s="45">
        <v>45</v>
      </c>
      <c r="B35" s="46" t="s">
        <v>46</v>
      </c>
      <c r="C35" s="47">
        <f>45^Assumptions!$C$3*Assumptions!$C$4</f>
        <v>53431.903699788032</v>
      </c>
      <c r="D35" s="47">
        <f t="shared" si="0"/>
        <v>430481.38224055729</v>
      </c>
    </row>
    <row r="36" spans="1:6" ht="15" customHeight="1" x14ac:dyDescent="0.2">
      <c r="A36" s="45">
        <v>50</v>
      </c>
      <c r="B36" s="46" t="s">
        <v>46</v>
      </c>
      <c r="C36" s="47">
        <f>50^Assumptions!$C$3*Assumptions!$C$4</f>
        <v>63577.069695830447</v>
      </c>
      <c r="D36" s="47">
        <f t="shared" si="0"/>
        <v>494058.45193638775</v>
      </c>
    </row>
    <row r="42" spans="1:6" ht="15" customHeight="1" x14ac:dyDescent="0.2">
      <c r="A42" s="11" t="s">
        <v>71</v>
      </c>
      <c r="B42" s="11"/>
      <c r="C42" s="11"/>
      <c r="D42" s="11"/>
      <c r="E42" s="11"/>
      <c r="F42" s="11"/>
    </row>
  </sheetData>
  <mergeCells count="3">
    <mergeCell ref="A1:F1"/>
    <mergeCell ref="A2:F2"/>
    <mergeCell ref="A42:F4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8"/>
  <sheetViews>
    <sheetView zoomScaleNormal="100" workbookViewId="0">
      <selection sqref="A1:V1"/>
    </sheetView>
  </sheetViews>
  <sheetFormatPr baseColWidth="10" defaultColWidth="8.6640625" defaultRowHeight="15" x14ac:dyDescent="0.2"/>
  <cols>
    <col min="1" max="1" width="14" customWidth="1"/>
    <col min="2" max="22" width="8" customWidth="1"/>
  </cols>
  <sheetData>
    <row r="1" spans="1:22" ht="30" customHeight="1" x14ac:dyDescent="0.2">
      <c r="A1" s="12" t="s">
        <v>72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ht="15" customHeight="1" x14ac:dyDescent="0.2">
      <c r="A2" s="11" t="s">
        <v>73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ht="15" customHeight="1" x14ac:dyDescent="0.2">
      <c r="A3" s="48" t="s">
        <v>74</v>
      </c>
      <c r="B3" s="49">
        <v>1</v>
      </c>
      <c r="C3" s="49">
        <v>2</v>
      </c>
      <c r="D3" s="49">
        <v>3</v>
      </c>
      <c r="E3" s="49">
        <v>4</v>
      </c>
      <c r="F3" s="49">
        <v>5</v>
      </c>
      <c r="G3" s="49">
        <v>6</v>
      </c>
      <c r="H3" s="49">
        <v>7</v>
      </c>
      <c r="I3" s="49">
        <v>8</v>
      </c>
      <c r="J3" s="49">
        <v>9</v>
      </c>
      <c r="K3" s="49">
        <v>10</v>
      </c>
      <c r="L3" s="49">
        <v>12</v>
      </c>
      <c r="M3" s="49">
        <v>14</v>
      </c>
      <c r="N3" s="49">
        <v>16</v>
      </c>
      <c r="O3" s="49">
        <v>18</v>
      </c>
      <c r="P3" s="49">
        <v>20</v>
      </c>
      <c r="Q3" s="49">
        <v>25</v>
      </c>
      <c r="R3" s="49">
        <v>30</v>
      </c>
      <c r="S3" s="49">
        <v>40</v>
      </c>
      <c r="T3" s="49">
        <v>50</v>
      </c>
      <c r="U3" s="49">
        <v>75</v>
      </c>
      <c r="V3" s="49">
        <v>100</v>
      </c>
    </row>
    <row r="4" spans="1:22" ht="15" customHeight="1" x14ac:dyDescent="0.2">
      <c r="A4" s="49">
        <v>1</v>
      </c>
      <c r="B4" s="50">
        <v>10</v>
      </c>
      <c r="C4" s="51">
        <v>51</v>
      </c>
      <c r="D4" s="51">
        <v>132</v>
      </c>
      <c r="E4" s="51">
        <v>260</v>
      </c>
      <c r="F4" s="51">
        <v>439</v>
      </c>
      <c r="G4" s="51">
        <v>674</v>
      </c>
      <c r="H4" s="51">
        <v>968</v>
      </c>
      <c r="I4" s="51">
        <v>1325</v>
      </c>
      <c r="J4" s="51">
        <v>1748</v>
      </c>
      <c r="K4" s="51">
        <v>2239</v>
      </c>
      <c r="L4" s="51">
        <v>3436</v>
      </c>
      <c r="M4" s="51">
        <v>4936</v>
      </c>
      <c r="N4" s="51">
        <v>6756</v>
      </c>
      <c r="O4" s="51">
        <v>8910</v>
      </c>
      <c r="P4" s="51">
        <v>11414</v>
      </c>
      <c r="Q4" s="51">
        <v>19282</v>
      </c>
      <c r="R4" s="51">
        <v>29596</v>
      </c>
      <c r="S4" s="51">
        <v>58189</v>
      </c>
      <c r="T4" s="51">
        <v>98306</v>
      </c>
      <c r="U4" s="51">
        <v>254914</v>
      </c>
      <c r="V4" s="51">
        <v>501187</v>
      </c>
    </row>
    <row r="5" spans="1:22" ht="15" customHeight="1" x14ac:dyDescent="0.2">
      <c r="A5" s="49">
        <v>2</v>
      </c>
      <c r="B5" s="52">
        <v>5</v>
      </c>
      <c r="C5" s="53">
        <v>25</v>
      </c>
      <c r="D5" s="54">
        <v>66</v>
      </c>
      <c r="E5" s="54">
        <v>130</v>
      </c>
      <c r="F5" s="54">
        <v>220</v>
      </c>
      <c r="G5" s="54">
        <v>337</v>
      </c>
      <c r="H5" s="54">
        <v>484</v>
      </c>
      <c r="I5" s="54">
        <v>663</v>
      </c>
      <c r="J5" s="54">
        <v>874</v>
      </c>
      <c r="K5" s="54">
        <v>1119</v>
      </c>
      <c r="L5" s="54">
        <v>1718</v>
      </c>
      <c r="M5" s="54">
        <v>2468</v>
      </c>
      <c r="N5" s="54">
        <v>3378</v>
      </c>
      <c r="O5" s="54">
        <v>4455</v>
      </c>
      <c r="P5" s="54">
        <v>5707</v>
      </c>
      <c r="Q5" s="54">
        <v>9641</v>
      </c>
      <c r="R5" s="54">
        <v>14798</v>
      </c>
      <c r="S5" s="54">
        <v>29095</v>
      </c>
      <c r="T5" s="54">
        <v>49153</v>
      </c>
      <c r="U5" s="54">
        <v>127457</v>
      </c>
      <c r="V5" s="54">
        <v>250594</v>
      </c>
    </row>
    <row r="6" spans="1:22" ht="15" customHeight="1" x14ac:dyDescent="0.2">
      <c r="A6" s="49">
        <v>3</v>
      </c>
      <c r="B6" s="55">
        <v>3</v>
      </c>
      <c r="C6" s="55">
        <v>17</v>
      </c>
      <c r="D6" s="50">
        <v>44</v>
      </c>
      <c r="E6" s="51">
        <v>87</v>
      </c>
      <c r="F6" s="51">
        <v>146</v>
      </c>
      <c r="G6" s="51">
        <v>225</v>
      </c>
      <c r="H6" s="51">
        <v>323</v>
      </c>
      <c r="I6" s="51">
        <v>442</v>
      </c>
      <c r="J6" s="51">
        <v>583</v>
      </c>
      <c r="K6" s="51">
        <v>746</v>
      </c>
      <c r="L6" s="51">
        <v>1145</v>
      </c>
      <c r="M6" s="51">
        <v>1645</v>
      </c>
      <c r="N6" s="51">
        <v>2252</v>
      </c>
      <c r="O6" s="51">
        <v>2970</v>
      </c>
      <c r="P6" s="51">
        <v>3805</v>
      </c>
      <c r="Q6" s="51">
        <v>6427</v>
      </c>
      <c r="R6" s="51">
        <v>9865</v>
      </c>
      <c r="S6" s="51">
        <v>19396</v>
      </c>
      <c r="T6" s="51">
        <v>32769</v>
      </c>
      <c r="U6" s="51">
        <v>84971</v>
      </c>
      <c r="V6" s="51">
        <v>167062</v>
      </c>
    </row>
    <row r="7" spans="1:22" ht="15" customHeight="1" x14ac:dyDescent="0.2">
      <c r="A7" s="49">
        <v>4</v>
      </c>
      <c r="B7" s="52">
        <v>2</v>
      </c>
      <c r="C7" s="52">
        <v>13</v>
      </c>
      <c r="D7" s="52">
        <v>33</v>
      </c>
      <c r="E7" s="53">
        <v>65</v>
      </c>
      <c r="F7" s="54">
        <v>110</v>
      </c>
      <c r="G7" s="54">
        <v>168</v>
      </c>
      <c r="H7" s="54">
        <v>242</v>
      </c>
      <c r="I7" s="54">
        <v>331</v>
      </c>
      <c r="J7" s="54">
        <v>437</v>
      </c>
      <c r="K7" s="54">
        <v>560</v>
      </c>
      <c r="L7" s="54">
        <v>859</v>
      </c>
      <c r="M7" s="54">
        <v>1234</v>
      </c>
      <c r="N7" s="54">
        <v>1689</v>
      </c>
      <c r="O7" s="54">
        <v>2228</v>
      </c>
      <c r="P7" s="54">
        <v>2853</v>
      </c>
      <c r="Q7" s="54">
        <v>4821</v>
      </c>
      <c r="R7" s="54">
        <v>7399</v>
      </c>
      <c r="S7" s="54">
        <v>14547</v>
      </c>
      <c r="T7" s="54">
        <v>24576</v>
      </c>
      <c r="U7" s="54">
        <v>63729</v>
      </c>
      <c r="V7" s="54">
        <v>125297</v>
      </c>
    </row>
    <row r="8" spans="1:22" ht="15" customHeight="1" x14ac:dyDescent="0.2">
      <c r="A8" s="49">
        <v>5</v>
      </c>
      <c r="B8" s="55">
        <v>2</v>
      </c>
      <c r="C8" s="55">
        <v>10</v>
      </c>
      <c r="D8" s="55">
        <v>26</v>
      </c>
      <c r="E8" s="55">
        <v>52</v>
      </c>
      <c r="F8" s="50">
        <v>88</v>
      </c>
      <c r="G8" s="51">
        <v>135</v>
      </c>
      <c r="H8" s="51">
        <v>194</v>
      </c>
      <c r="I8" s="51">
        <v>265</v>
      </c>
      <c r="J8" s="51">
        <v>350</v>
      </c>
      <c r="K8" s="51">
        <v>448</v>
      </c>
      <c r="L8" s="51">
        <v>687</v>
      </c>
      <c r="M8" s="51">
        <v>987</v>
      </c>
      <c r="N8" s="51">
        <v>1351</v>
      </c>
      <c r="O8" s="51">
        <v>1782</v>
      </c>
      <c r="P8" s="51">
        <v>2283</v>
      </c>
      <c r="Q8" s="51">
        <v>3856</v>
      </c>
      <c r="R8" s="51">
        <v>5919</v>
      </c>
      <c r="S8" s="51">
        <v>11638</v>
      </c>
      <c r="T8" s="51">
        <v>19661</v>
      </c>
      <c r="U8" s="51">
        <v>50983</v>
      </c>
      <c r="V8" s="51">
        <v>100237</v>
      </c>
    </row>
    <row r="9" spans="1:22" ht="15" customHeight="1" x14ac:dyDescent="0.2">
      <c r="A9" s="49">
        <v>6</v>
      </c>
      <c r="B9" s="52">
        <v>2</v>
      </c>
      <c r="C9" s="52">
        <v>8</v>
      </c>
      <c r="D9" s="52">
        <v>22</v>
      </c>
      <c r="E9" s="52">
        <v>43</v>
      </c>
      <c r="F9" s="52">
        <v>73</v>
      </c>
      <c r="G9" s="53">
        <v>112</v>
      </c>
      <c r="H9" s="54">
        <v>161</v>
      </c>
      <c r="I9" s="54">
        <v>221</v>
      </c>
      <c r="J9" s="54">
        <v>291</v>
      </c>
      <c r="K9" s="54">
        <v>373</v>
      </c>
      <c r="L9" s="54">
        <v>573</v>
      </c>
      <c r="M9" s="54">
        <v>823</v>
      </c>
      <c r="N9" s="54">
        <v>1126</v>
      </c>
      <c r="O9" s="54">
        <v>1485</v>
      </c>
      <c r="P9" s="54">
        <v>1902</v>
      </c>
      <c r="Q9" s="54">
        <v>3214</v>
      </c>
      <c r="R9" s="54">
        <v>4933</v>
      </c>
      <c r="S9" s="54">
        <v>9698</v>
      </c>
      <c r="T9" s="54">
        <v>16384</v>
      </c>
      <c r="U9" s="54">
        <v>42486</v>
      </c>
      <c r="V9" s="54">
        <v>83531</v>
      </c>
    </row>
    <row r="10" spans="1:22" ht="15" customHeight="1" x14ac:dyDescent="0.2">
      <c r="A10" s="49">
        <v>7</v>
      </c>
      <c r="B10" s="55">
        <v>1</v>
      </c>
      <c r="C10" s="55">
        <v>7</v>
      </c>
      <c r="D10" s="55">
        <v>19</v>
      </c>
      <c r="E10" s="55">
        <v>37</v>
      </c>
      <c r="F10" s="55">
        <v>63</v>
      </c>
      <c r="G10" s="55">
        <v>96</v>
      </c>
      <c r="H10" s="50">
        <v>138</v>
      </c>
      <c r="I10" s="51">
        <v>189</v>
      </c>
      <c r="J10" s="51">
        <v>250</v>
      </c>
      <c r="K10" s="51">
        <v>320</v>
      </c>
      <c r="L10" s="51">
        <v>491</v>
      </c>
      <c r="M10" s="51">
        <v>705</v>
      </c>
      <c r="N10" s="51">
        <v>965</v>
      </c>
      <c r="O10" s="51">
        <v>1273</v>
      </c>
      <c r="P10" s="51">
        <v>1631</v>
      </c>
      <c r="Q10" s="51">
        <v>2755</v>
      </c>
      <c r="R10" s="51">
        <v>4228</v>
      </c>
      <c r="S10" s="51">
        <v>8313</v>
      </c>
      <c r="T10" s="51">
        <v>14044</v>
      </c>
      <c r="U10" s="51">
        <v>36416</v>
      </c>
      <c r="V10" s="51">
        <v>71598</v>
      </c>
    </row>
    <row r="11" spans="1:22" ht="15" customHeight="1" x14ac:dyDescent="0.2">
      <c r="A11" s="49">
        <v>8</v>
      </c>
      <c r="B11" s="52">
        <v>1</v>
      </c>
      <c r="C11" s="52">
        <v>6</v>
      </c>
      <c r="D11" s="52">
        <v>17</v>
      </c>
      <c r="E11" s="52">
        <v>32</v>
      </c>
      <c r="F11" s="52">
        <v>55</v>
      </c>
      <c r="G11" s="52">
        <v>84</v>
      </c>
      <c r="H11" s="52">
        <v>121</v>
      </c>
      <c r="I11" s="53">
        <v>166</v>
      </c>
      <c r="J11" s="54">
        <v>218</v>
      </c>
      <c r="K11" s="54">
        <v>280</v>
      </c>
      <c r="L11" s="54">
        <v>430</v>
      </c>
      <c r="M11" s="54">
        <v>617</v>
      </c>
      <c r="N11" s="54">
        <v>844</v>
      </c>
      <c r="O11" s="54">
        <v>1114</v>
      </c>
      <c r="P11" s="54">
        <v>1427</v>
      </c>
      <c r="Q11" s="54">
        <v>2410</v>
      </c>
      <c r="R11" s="54">
        <v>3700</v>
      </c>
      <c r="S11" s="54">
        <v>7274</v>
      </c>
      <c r="T11" s="54">
        <v>12288</v>
      </c>
      <c r="U11" s="54">
        <v>31864</v>
      </c>
      <c r="V11" s="54">
        <v>62648</v>
      </c>
    </row>
    <row r="12" spans="1:22" ht="15" customHeight="1" x14ac:dyDescent="0.2">
      <c r="A12" s="49">
        <v>9</v>
      </c>
      <c r="B12" s="55">
        <v>1</v>
      </c>
      <c r="C12" s="55">
        <v>6</v>
      </c>
      <c r="D12" s="55">
        <v>15</v>
      </c>
      <c r="E12" s="55">
        <v>29</v>
      </c>
      <c r="F12" s="55">
        <v>49</v>
      </c>
      <c r="G12" s="55">
        <v>75</v>
      </c>
      <c r="H12" s="55">
        <v>108</v>
      </c>
      <c r="I12" s="55">
        <v>147</v>
      </c>
      <c r="J12" s="50">
        <v>194</v>
      </c>
      <c r="K12" s="51">
        <v>249</v>
      </c>
      <c r="L12" s="51">
        <v>382</v>
      </c>
      <c r="M12" s="51">
        <v>548</v>
      </c>
      <c r="N12" s="51">
        <v>751</v>
      </c>
      <c r="O12" s="51">
        <v>990</v>
      </c>
      <c r="P12" s="51">
        <v>1268</v>
      </c>
      <c r="Q12" s="51">
        <v>2142</v>
      </c>
      <c r="R12" s="51">
        <v>3288</v>
      </c>
      <c r="S12" s="51">
        <v>6465</v>
      </c>
      <c r="T12" s="51">
        <v>10923</v>
      </c>
      <c r="U12" s="51">
        <v>28324</v>
      </c>
      <c r="V12" s="51">
        <v>55687</v>
      </c>
    </row>
    <row r="13" spans="1:22" ht="15" customHeight="1" x14ac:dyDescent="0.2">
      <c r="A13" s="49">
        <v>10</v>
      </c>
      <c r="B13" s="52">
        <v>1</v>
      </c>
      <c r="C13" s="52">
        <v>5</v>
      </c>
      <c r="D13" s="52">
        <v>13</v>
      </c>
      <c r="E13" s="52">
        <v>26</v>
      </c>
      <c r="F13" s="52">
        <v>44</v>
      </c>
      <c r="G13" s="52">
        <v>67</v>
      </c>
      <c r="H13" s="52">
        <v>97</v>
      </c>
      <c r="I13" s="52">
        <v>133</v>
      </c>
      <c r="J13" s="52">
        <v>175</v>
      </c>
      <c r="K13" s="53">
        <v>224</v>
      </c>
      <c r="L13" s="54">
        <v>344</v>
      </c>
      <c r="M13" s="54">
        <v>494</v>
      </c>
      <c r="N13" s="54">
        <v>676</v>
      </c>
      <c r="O13" s="54">
        <v>891</v>
      </c>
      <c r="P13" s="54">
        <v>1141</v>
      </c>
      <c r="Q13" s="54">
        <v>1928</v>
      </c>
      <c r="R13" s="54">
        <v>2960</v>
      </c>
      <c r="S13" s="54">
        <v>5819</v>
      </c>
      <c r="T13" s="54">
        <v>9831</v>
      </c>
      <c r="U13" s="54">
        <v>25491</v>
      </c>
      <c r="V13" s="54">
        <v>50119</v>
      </c>
    </row>
    <row r="14" spans="1:22" ht="15" customHeight="1" x14ac:dyDescent="0.2">
      <c r="A14" s="49">
        <v>12</v>
      </c>
      <c r="B14" s="55">
        <v>1</v>
      </c>
      <c r="C14" s="55">
        <v>4</v>
      </c>
      <c r="D14" s="55">
        <v>11</v>
      </c>
      <c r="E14" s="55">
        <v>22</v>
      </c>
      <c r="F14" s="55">
        <v>37</v>
      </c>
      <c r="G14" s="55">
        <v>56</v>
      </c>
      <c r="H14" s="55">
        <v>81</v>
      </c>
      <c r="I14" s="55">
        <v>110</v>
      </c>
      <c r="J14" s="55">
        <v>146</v>
      </c>
      <c r="K14" s="55">
        <v>187</v>
      </c>
      <c r="L14" s="50">
        <v>286</v>
      </c>
      <c r="M14" s="51">
        <v>411</v>
      </c>
      <c r="N14" s="51">
        <v>563</v>
      </c>
      <c r="O14" s="51">
        <v>743</v>
      </c>
      <c r="P14" s="51">
        <v>951</v>
      </c>
      <c r="Q14" s="51">
        <v>1607</v>
      </c>
      <c r="R14" s="51">
        <v>2466</v>
      </c>
      <c r="S14" s="51">
        <v>4849</v>
      </c>
      <c r="T14" s="51">
        <v>8192</v>
      </c>
      <c r="U14" s="51">
        <v>21243</v>
      </c>
      <c r="V14" s="51">
        <v>41766</v>
      </c>
    </row>
    <row r="15" spans="1:22" ht="15" customHeight="1" x14ac:dyDescent="0.2">
      <c r="A15" s="49">
        <v>14</v>
      </c>
      <c r="B15" s="52">
        <v>1</v>
      </c>
      <c r="C15" s="52">
        <v>4</v>
      </c>
      <c r="D15" s="52">
        <v>9</v>
      </c>
      <c r="E15" s="52">
        <v>19</v>
      </c>
      <c r="F15" s="52">
        <v>31</v>
      </c>
      <c r="G15" s="52">
        <v>48</v>
      </c>
      <c r="H15" s="52">
        <v>69</v>
      </c>
      <c r="I15" s="52">
        <v>95</v>
      </c>
      <c r="J15" s="52">
        <v>125</v>
      </c>
      <c r="K15" s="52">
        <v>160</v>
      </c>
      <c r="L15" s="52">
        <v>245</v>
      </c>
      <c r="M15" s="53">
        <v>353</v>
      </c>
      <c r="N15" s="54">
        <v>483</v>
      </c>
      <c r="O15" s="54">
        <v>636</v>
      </c>
      <c r="P15" s="54">
        <v>815</v>
      </c>
      <c r="Q15" s="54">
        <v>1377</v>
      </c>
      <c r="R15" s="54">
        <v>2114</v>
      </c>
      <c r="S15" s="54">
        <v>4156</v>
      </c>
      <c r="T15" s="54">
        <v>7022</v>
      </c>
      <c r="U15" s="54">
        <v>18208</v>
      </c>
      <c r="V15" s="54">
        <v>35799</v>
      </c>
    </row>
    <row r="16" spans="1:22" ht="15" customHeight="1" x14ac:dyDescent="0.2">
      <c r="A16" s="49">
        <v>16</v>
      </c>
      <c r="B16" s="55">
        <v>1</v>
      </c>
      <c r="C16" s="55">
        <v>3</v>
      </c>
      <c r="D16" s="55">
        <v>8</v>
      </c>
      <c r="E16" s="55">
        <v>16</v>
      </c>
      <c r="F16" s="55">
        <v>27</v>
      </c>
      <c r="G16" s="55">
        <v>42</v>
      </c>
      <c r="H16" s="55">
        <v>61</v>
      </c>
      <c r="I16" s="55">
        <v>83</v>
      </c>
      <c r="J16" s="55">
        <v>109</v>
      </c>
      <c r="K16" s="55">
        <v>140</v>
      </c>
      <c r="L16" s="55">
        <v>215</v>
      </c>
      <c r="M16" s="55">
        <v>309</v>
      </c>
      <c r="N16" s="50">
        <v>422</v>
      </c>
      <c r="O16" s="51">
        <v>557</v>
      </c>
      <c r="P16" s="51">
        <v>713</v>
      </c>
      <c r="Q16" s="51">
        <v>1205</v>
      </c>
      <c r="R16" s="51">
        <v>1850</v>
      </c>
      <c r="S16" s="51">
        <v>3637</v>
      </c>
      <c r="T16" s="51">
        <v>6144</v>
      </c>
      <c r="U16" s="51">
        <v>15932</v>
      </c>
      <c r="V16" s="51">
        <v>31324</v>
      </c>
    </row>
    <row r="17" spans="1:22" ht="15" customHeight="1" x14ac:dyDescent="0.2">
      <c r="A17" s="49">
        <v>18</v>
      </c>
      <c r="B17" s="52">
        <v>1</v>
      </c>
      <c r="C17" s="52">
        <v>3</v>
      </c>
      <c r="D17" s="52">
        <v>7</v>
      </c>
      <c r="E17" s="52">
        <v>14</v>
      </c>
      <c r="F17" s="52">
        <v>24</v>
      </c>
      <c r="G17" s="52">
        <v>37</v>
      </c>
      <c r="H17" s="52">
        <v>54</v>
      </c>
      <c r="I17" s="52">
        <v>74</v>
      </c>
      <c r="J17" s="52">
        <v>97</v>
      </c>
      <c r="K17" s="52">
        <v>124</v>
      </c>
      <c r="L17" s="52">
        <v>191</v>
      </c>
      <c r="M17" s="52">
        <v>274</v>
      </c>
      <c r="N17" s="52">
        <v>375</v>
      </c>
      <c r="O17" s="53">
        <v>495</v>
      </c>
      <c r="P17" s="54">
        <v>634</v>
      </c>
      <c r="Q17" s="54">
        <v>1071</v>
      </c>
      <c r="R17" s="54">
        <v>1644</v>
      </c>
      <c r="S17" s="54">
        <v>3233</v>
      </c>
      <c r="T17" s="54">
        <v>5461</v>
      </c>
      <c r="U17" s="54">
        <v>14162</v>
      </c>
      <c r="V17" s="54">
        <v>27844</v>
      </c>
    </row>
    <row r="18" spans="1:22" ht="15" customHeight="1" x14ac:dyDescent="0.2">
      <c r="A18" s="49">
        <v>20</v>
      </c>
      <c r="B18" s="55">
        <v>0</v>
      </c>
      <c r="C18" s="55">
        <v>3</v>
      </c>
      <c r="D18" s="55">
        <v>7</v>
      </c>
      <c r="E18" s="55">
        <v>13</v>
      </c>
      <c r="F18" s="55">
        <v>22</v>
      </c>
      <c r="G18" s="55">
        <v>34</v>
      </c>
      <c r="H18" s="55">
        <v>48</v>
      </c>
      <c r="I18" s="55">
        <v>66</v>
      </c>
      <c r="J18" s="55">
        <v>87</v>
      </c>
      <c r="K18" s="55">
        <v>112</v>
      </c>
      <c r="L18" s="55">
        <v>172</v>
      </c>
      <c r="M18" s="55">
        <v>247</v>
      </c>
      <c r="N18" s="55">
        <v>338</v>
      </c>
      <c r="O18" s="55">
        <v>446</v>
      </c>
      <c r="P18" s="50">
        <v>571</v>
      </c>
      <c r="Q18" s="51">
        <v>964</v>
      </c>
      <c r="R18" s="51">
        <v>1480</v>
      </c>
      <c r="S18" s="51">
        <v>2909</v>
      </c>
      <c r="T18" s="51">
        <v>4915</v>
      </c>
      <c r="U18" s="51">
        <v>12746</v>
      </c>
      <c r="V18" s="51">
        <v>25059</v>
      </c>
    </row>
    <row r="19" spans="1:22" ht="15" customHeight="1" x14ac:dyDescent="0.2">
      <c r="A19" s="49">
        <v>25</v>
      </c>
      <c r="B19" s="52">
        <v>0</v>
      </c>
      <c r="C19" s="52">
        <v>2</v>
      </c>
      <c r="D19" s="52">
        <v>5</v>
      </c>
      <c r="E19" s="52">
        <v>10</v>
      </c>
      <c r="F19" s="52">
        <v>18</v>
      </c>
      <c r="G19" s="52">
        <v>27</v>
      </c>
      <c r="H19" s="52">
        <v>39</v>
      </c>
      <c r="I19" s="52">
        <v>53</v>
      </c>
      <c r="J19" s="52">
        <v>70</v>
      </c>
      <c r="K19" s="52">
        <v>90</v>
      </c>
      <c r="L19" s="52">
        <v>137</v>
      </c>
      <c r="M19" s="52">
        <v>197</v>
      </c>
      <c r="N19" s="52">
        <v>270</v>
      </c>
      <c r="O19" s="52">
        <v>356</v>
      </c>
      <c r="P19" s="52">
        <v>457</v>
      </c>
      <c r="Q19" s="53">
        <v>771</v>
      </c>
      <c r="R19" s="54">
        <v>1184</v>
      </c>
      <c r="S19" s="54">
        <v>2328</v>
      </c>
      <c r="T19" s="54">
        <v>3932</v>
      </c>
      <c r="U19" s="54">
        <v>10197</v>
      </c>
      <c r="V19" s="54">
        <v>20047</v>
      </c>
    </row>
    <row r="20" spans="1:22" ht="15" customHeight="1" x14ac:dyDescent="0.2">
      <c r="A20" s="49">
        <v>30</v>
      </c>
      <c r="B20" s="55">
        <v>0</v>
      </c>
      <c r="C20" s="55">
        <v>2</v>
      </c>
      <c r="D20" s="55">
        <v>4</v>
      </c>
      <c r="E20" s="55">
        <v>9</v>
      </c>
      <c r="F20" s="55">
        <v>15</v>
      </c>
      <c r="G20" s="55">
        <v>22</v>
      </c>
      <c r="H20" s="55">
        <v>32</v>
      </c>
      <c r="I20" s="55">
        <v>44</v>
      </c>
      <c r="J20" s="55">
        <v>58</v>
      </c>
      <c r="K20" s="55">
        <v>75</v>
      </c>
      <c r="L20" s="55">
        <v>115</v>
      </c>
      <c r="M20" s="55">
        <v>165</v>
      </c>
      <c r="N20" s="55">
        <v>225</v>
      </c>
      <c r="O20" s="55">
        <v>297</v>
      </c>
      <c r="P20" s="55">
        <v>380</v>
      </c>
      <c r="Q20" s="55">
        <v>643</v>
      </c>
      <c r="R20" s="50">
        <v>987</v>
      </c>
      <c r="S20" s="51">
        <v>1940</v>
      </c>
      <c r="T20" s="51">
        <v>3277</v>
      </c>
      <c r="U20" s="51">
        <v>8497</v>
      </c>
      <c r="V20" s="51">
        <v>16706</v>
      </c>
    </row>
    <row r="21" spans="1:22" ht="15" customHeight="1" x14ac:dyDescent="0.2">
      <c r="A21" s="49">
        <v>40</v>
      </c>
      <c r="B21" s="52">
        <v>0</v>
      </c>
      <c r="C21" s="52">
        <v>1</v>
      </c>
      <c r="D21" s="52">
        <v>3</v>
      </c>
      <c r="E21" s="52">
        <v>6</v>
      </c>
      <c r="F21" s="52">
        <v>11</v>
      </c>
      <c r="G21" s="52">
        <v>17</v>
      </c>
      <c r="H21" s="52">
        <v>24</v>
      </c>
      <c r="I21" s="52">
        <v>33</v>
      </c>
      <c r="J21" s="52">
        <v>44</v>
      </c>
      <c r="K21" s="52">
        <v>56</v>
      </c>
      <c r="L21" s="52">
        <v>86</v>
      </c>
      <c r="M21" s="52">
        <v>123</v>
      </c>
      <c r="N21" s="52">
        <v>169</v>
      </c>
      <c r="O21" s="52">
        <v>223</v>
      </c>
      <c r="P21" s="52">
        <v>285</v>
      </c>
      <c r="Q21" s="52">
        <v>482</v>
      </c>
      <c r="R21" s="52">
        <v>740</v>
      </c>
      <c r="S21" s="53">
        <v>1455</v>
      </c>
      <c r="T21" s="54">
        <v>2458</v>
      </c>
      <c r="U21" s="54">
        <v>6373</v>
      </c>
      <c r="V21" s="54">
        <v>12530</v>
      </c>
    </row>
    <row r="22" spans="1:22" ht="15" customHeight="1" x14ac:dyDescent="0.2">
      <c r="A22" s="49">
        <v>50</v>
      </c>
      <c r="B22" s="55">
        <v>0</v>
      </c>
      <c r="C22" s="55">
        <v>1</v>
      </c>
      <c r="D22" s="55">
        <v>3</v>
      </c>
      <c r="E22" s="55">
        <v>5</v>
      </c>
      <c r="F22" s="55">
        <v>9</v>
      </c>
      <c r="G22" s="55">
        <v>13</v>
      </c>
      <c r="H22" s="55">
        <v>19</v>
      </c>
      <c r="I22" s="55">
        <v>27</v>
      </c>
      <c r="J22" s="55">
        <v>35</v>
      </c>
      <c r="K22" s="55">
        <v>45</v>
      </c>
      <c r="L22" s="55">
        <v>69</v>
      </c>
      <c r="M22" s="55">
        <v>99</v>
      </c>
      <c r="N22" s="55">
        <v>135</v>
      </c>
      <c r="O22" s="55">
        <v>178</v>
      </c>
      <c r="P22" s="55">
        <v>228</v>
      </c>
      <c r="Q22" s="55">
        <v>386</v>
      </c>
      <c r="R22" s="55">
        <v>592</v>
      </c>
      <c r="S22" s="55">
        <v>1164</v>
      </c>
      <c r="T22" s="50">
        <v>1966</v>
      </c>
      <c r="U22" s="51">
        <v>5098</v>
      </c>
      <c r="V22" s="51">
        <v>10024</v>
      </c>
    </row>
    <row r="23" spans="1:22" ht="15" customHeight="1" x14ac:dyDescent="0.2">
      <c r="A23" s="49">
        <v>75</v>
      </c>
      <c r="B23" s="52">
        <v>0</v>
      </c>
      <c r="C23" s="52">
        <v>1</v>
      </c>
      <c r="D23" s="52">
        <v>2</v>
      </c>
      <c r="E23" s="52">
        <v>3</v>
      </c>
      <c r="F23" s="52">
        <v>6</v>
      </c>
      <c r="G23" s="52">
        <v>9</v>
      </c>
      <c r="H23" s="52">
        <v>13</v>
      </c>
      <c r="I23" s="52">
        <v>18</v>
      </c>
      <c r="J23" s="52">
        <v>23</v>
      </c>
      <c r="K23" s="52">
        <v>30</v>
      </c>
      <c r="L23" s="52">
        <v>46</v>
      </c>
      <c r="M23" s="52">
        <v>66</v>
      </c>
      <c r="N23" s="52">
        <v>90</v>
      </c>
      <c r="O23" s="52">
        <v>119</v>
      </c>
      <c r="P23" s="52">
        <v>152</v>
      </c>
      <c r="Q23" s="52">
        <v>257</v>
      </c>
      <c r="R23" s="52">
        <v>395</v>
      </c>
      <c r="S23" s="52">
        <v>776</v>
      </c>
      <c r="T23" s="52">
        <v>1311</v>
      </c>
      <c r="U23" s="53">
        <v>3399</v>
      </c>
      <c r="V23" s="54">
        <v>6682</v>
      </c>
    </row>
    <row r="24" spans="1:22" ht="15" customHeight="1" x14ac:dyDescent="0.2">
      <c r="A24" s="49">
        <v>100</v>
      </c>
      <c r="B24" s="55">
        <v>0</v>
      </c>
      <c r="C24" s="55">
        <v>1</v>
      </c>
      <c r="D24" s="55">
        <v>1</v>
      </c>
      <c r="E24" s="55">
        <v>3</v>
      </c>
      <c r="F24" s="55">
        <v>4</v>
      </c>
      <c r="G24" s="55">
        <v>7</v>
      </c>
      <c r="H24" s="55">
        <v>10</v>
      </c>
      <c r="I24" s="55">
        <v>13</v>
      </c>
      <c r="J24" s="55">
        <v>17</v>
      </c>
      <c r="K24" s="55">
        <v>22</v>
      </c>
      <c r="L24" s="55">
        <v>34</v>
      </c>
      <c r="M24" s="55">
        <v>49</v>
      </c>
      <c r="N24" s="55">
        <v>68</v>
      </c>
      <c r="O24" s="55">
        <v>89</v>
      </c>
      <c r="P24" s="55">
        <v>114</v>
      </c>
      <c r="Q24" s="55">
        <v>193</v>
      </c>
      <c r="R24" s="55">
        <v>296</v>
      </c>
      <c r="S24" s="55">
        <v>582</v>
      </c>
      <c r="T24" s="55">
        <v>983</v>
      </c>
      <c r="U24" s="55">
        <v>2549</v>
      </c>
      <c r="V24" s="50">
        <v>5012</v>
      </c>
    </row>
    <row r="26" spans="1:22" ht="15" customHeight="1" x14ac:dyDescent="0.2">
      <c r="A26" s="11" t="s">
        <v>75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 ht="15" customHeight="1" x14ac:dyDescent="0.2">
      <c r="A27" s="11" t="s">
        <v>76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 ht="15" customHeight="1" x14ac:dyDescent="0.2">
      <c r="A28" s="11" t="s">
        <v>77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</sheetData>
  <mergeCells count="5">
    <mergeCell ref="A1:V1"/>
    <mergeCell ref="A2:V2"/>
    <mergeCell ref="A26:V26"/>
    <mergeCell ref="A27:V27"/>
    <mergeCell ref="A28:V2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F130-0DFB-054F-981D-0E0DEF2A885D}">
  <dimension ref="A1:V28"/>
  <sheetViews>
    <sheetView workbookViewId="0">
      <selection activeCell="B19" sqref="B19"/>
    </sheetView>
  </sheetViews>
  <sheetFormatPr baseColWidth="10" defaultColWidth="8.6640625" defaultRowHeight="15" x14ac:dyDescent="0.2"/>
  <cols>
    <col min="1" max="1" width="14" customWidth="1"/>
    <col min="2" max="22" width="8" customWidth="1"/>
  </cols>
  <sheetData>
    <row r="1" spans="1:22" ht="30" customHeight="1" x14ac:dyDescent="0.2">
      <c r="A1" s="12" t="s">
        <v>72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ht="15" customHeight="1" x14ac:dyDescent="0.2">
      <c r="A2" s="11" t="s">
        <v>73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x14ac:dyDescent="0.2">
      <c r="A3" s="48" t="s">
        <v>74</v>
      </c>
      <c r="B3" s="49">
        <v>1</v>
      </c>
      <c r="C3" s="49">
        <v>2</v>
      </c>
      <c r="D3" s="49">
        <v>3</v>
      </c>
      <c r="E3" s="49">
        <v>4</v>
      </c>
      <c r="F3" s="49">
        <v>5</v>
      </c>
      <c r="G3" s="49">
        <v>6</v>
      </c>
      <c r="H3" s="49">
        <v>7</v>
      </c>
      <c r="I3" s="49">
        <v>8</v>
      </c>
      <c r="J3" s="49">
        <v>9</v>
      </c>
      <c r="K3" s="49">
        <v>10</v>
      </c>
      <c r="L3" s="49">
        <v>12</v>
      </c>
      <c r="M3" s="49">
        <v>14</v>
      </c>
      <c r="N3" s="49">
        <v>16</v>
      </c>
      <c r="O3" s="49">
        <v>18</v>
      </c>
      <c r="P3" s="49">
        <v>20</v>
      </c>
      <c r="Q3" s="49">
        <v>25</v>
      </c>
      <c r="R3" s="49">
        <v>30</v>
      </c>
      <c r="S3" s="49">
        <v>40</v>
      </c>
      <c r="T3" s="49">
        <v>50</v>
      </c>
      <c r="U3" s="49">
        <v>75</v>
      </c>
      <c r="V3" s="49">
        <v>100</v>
      </c>
    </row>
    <row r="4" spans="1:22" ht="15" customHeight="1" x14ac:dyDescent="0.2">
      <c r="A4" s="49">
        <v>1</v>
      </c>
      <c r="B4" s="50">
        <f>(B$3/$A4)*Assumptions!$C$6*B$3^Assumptions!$C$5</f>
        <v>10</v>
      </c>
      <c r="C4" s="50">
        <f>(C$3/$A4)*Assumptions!$C$6*C$3^Assumptions!$C$5</f>
        <v>50.982425092770491</v>
      </c>
      <c r="D4" s="50">
        <f>(D$3/$A4)*Assumptions!$C$6*D$3^Assumptions!$C$5</f>
        <v>132.20106341400668</v>
      </c>
      <c r="E4" s="50">
        <f>(E$3/$A4)*Assumptions!$C$6*E$3^Assumptions!$C$5</f>
        <v>259.9207668339954</v>
      </c>
      <c r="F4" s="50">
        <f>(F$3/$A4)*Assumptions!$C$6*F$3^Assumptions!$C$5</f>
        <v>439.1162512365068</v>
      </c>
      <c r="G4" s="50">
        <f>(G$3/$A4)*Assumptions!$C$6*G$3^Assumptions!$C$5</f>
        <v>673.99308126891947</v>
      </c>
      <c r="H4" s="50">
        <f>(H$3/$A4)*Assumptions!$C$6*H$3^Assumptions!$C$5</f>
        <v>968.23414491907181</v>
      </c>
      <c r="I4" s="50">
        <f>(I$3/$A4)*Assumptions!$C$6*I$3^Assumptions!$C$5</f>
        <v>1325.139102516963</v>
      </c>
      <c r="J4" s="50">
        <f>(J$3/$A4)*Assumptions!$C$6*J$3^Assumptions!$C$5</f>
        <v>1747.7121167794212</v>
      </c>
      <c r="K4" s="50">
        <f>(K$3/$A4)*Assumptions!$C$6*K$3^Assumptions!$C$5</f>
        <v>2238.7211385683404</v>
      </c>
      <c r="L4" s="50">
        <f>(L$3/$A4)*Assumptions!$C$6*L$3^Assumptions!$C$5</f>
        <v>3436.1801778838262</v>
      </c>
      <c r="M4" s="50">
        <f>(M$3/$A4)*Assumptions!$C$6*M$3^Assumptions!$C$5</f>
        <v>4936.2924765599246</v>
      </c>
      <c r="N4" s="50">
        <f>(N$3/$A4)*Assumptions!$C$6*N$3^Assumptions!$C$5</f>
        <v>6755.8805031572183</v>
      </c>
      <c r="O4" s="50">
        <f>(O$3/$A4)*Assumptions!$C$6*O$3^Assumptions!$C$5</f>
        <v>8910.2602077434167</v>
      </c>
      <c r="P4" s="50">
        <f>(P$3/$A4)*Assumptions!$C$6*P$3^Assumptions!$C$5</f>
        <v>11413.543275066224</v>
      </c>
      <c r="Q4" s="50">
        <f>(Q$3/$A4)*Assumptions!$C$6*Q$3^Assumptions!$C$5</f>
        <v>19282.308210000294</v>
      </c>
      <c r="R4" s="50">
        <f>(R$3/$A4)*Assumptions!$C$6*R$3^Assumptions!$C$5</f>
        <v>29596.131520615032</v>
      </c>
      <c r="S4" s="50">
        <f>(S$3/$A4)*Assumptions!$C$6*S$3^Assumptions!$C$5</f>
        <v>58189.011506415838</v>
      </c>
      <c r="T4" s="50">
        <f>(T$3/$A4)*Assumptions!$C$6*T$3^Assumptions!$C$5</f>
        <v>98305.883393205411</v>
      </c>
      <c r="U4" s="50">
        <f>(U$3/$A4)*Assumptions!$C$6*U$3^Assumptions!$C$5</f>
        <v>254914.16504386699</v>
      </c>
      <c r="V4" s="50">
        <f>(V$3/$A4)*Assumptions!$C$6*V$3^Assumptions!$C$5</f>
        <v>501187.23362727271</v>
      </c>
    </row>
    <row r="5" spans="1:22" ht="15" customHeight="1" x14ac:dyDescent="0.2">
      <c r="A5" s="49">
        <v>2</v>
      </c>
      <c r="B5" s="50">
        <f>(B$3/$A5)*Assumptions!$C$6*B$3^Assumptions!$C$5</f>
        <v>5</v>
      </c>
      <c r="C5" s="50">
        <f>(C$3/$A5)*Assumptions!$C$6*C$3^Assumptions!$C$5</f>
        <v>25.491212546385245</v>
      </c>
      <c r="D5" s="50">
        <f>(D$3/$A5)*Assumptions!$C$6*D$3^Assumptions!$C$5</f>
        <v>66.100531707003341</v>
      </c>
      <c r="E5" s="50">
        <f>(E$3/$A5)*Assumptions!$C$6*E$3^Assumptions!$C$5</f>
        <v>129.9603834169977</v>
      </c>
      <c r="F5" s="50">
        <f>(F$3/$A5)*Assumptions!$C$6*F$3^Assumptions!$C$5</f>
        <v>219.5581256182534</v>
      </c>
      <c r="G5" s="50">
        <f>(G$3/$A5)*Assumptions!$C$6*G$3^Assumptions!$C$5</f>
        <v>336.99654063445973</v>
      </c>
      <c r="H5" s="50">
        <f>(H$3/$A5)*Assumptions!$C$6*H$3^Assumptions!$C$5</f>
        <v>484.1170724595359</v>
      </c>
      <c r="I5" s="50">
        <f>(I$3/$A5)*Assumptions!$C$6*I$3^Assumptions!$C$5</f>
        <v>662.56955125848151</v>
      </c>
      <c r="J5" s="50">
        <f>(J$3/$A5)*Assumptions!$C$6*J$3^Assumptions!$C$5</f>
        <v>873.8560583897106</v>
      </c>
      <c r="K5" s="50">
        <f>(K$3/$A5)*Assumptions!$C$6*K$3^Assumptions!$C$5</f>
        <v>1119.3605692841702</v>
      </c>
      <c r="L5" s="50">
        <f>(L$3/$A5)*Assumptions!$C$6*L$3^Assumptions!$C$5</f>
        <v>1718.0900889419131</v>
      </c>
      <c r="M5" s="50">
        <f>(M$3/$A5)*Assumptions!$C$6*M$3^Assumptions!$C$5</f>
        <v>2468.1462382799623</v>
      </c>
      <c r="N5" s="50">
        <f>(N$3/$A5)*Assumptions!$C$6*N$3^Assumptions!$C$5</f>
        <v>3377.9402515786091</v>
      </c>
      <c r="O5" s="50">
        <f>(O$3/$A5)*Assumptions!$C$6*O$3^Assumptions!$C$5</f>
        <v>4455.1301038717083</v>
      </c>
      <c r="P5" s="50">
        <f>(P$3/$A5)*Assumptions!$C$6*P$3^Assumptions!$C$5</f>
        <v>5706.771637533112</v>
      </c>
      <c r="Q5" s="50">
        <f>(Q$3/$A5)*Assumptions!$C$6*Q$3^Assumptions!$C$5</f>
        <v>9641.154105000147</v>
      </c>
      <c r="R5" s="50">
        <f>(R$3/$A5)*Assumptions!$C$6*R$3^Assumptions!$C$5</f>
        <v>14798.065760307516</v>
      </c>
      <c r="S5" s="50">
        <f>(S$3/$A5)*Assumptions!$C$6*S$3^Assumptions!$C$5</f>
        <v>29094.505753207919</v>
      </c>
      <c r="T5" s="50">
        <f>(T$3/$A5)*Assumptions!$C$6*T$3^Assumptions!$C$5</f>
        <v>49152.941696602706</v>
      </c>
      <c r="U5" s="50">
        <f>(U$3/$A5)*Assumptions!$C$6*U$3^Assumptions!$C$5</f>
        <v>127457.08252193349</v>
      </c>
      <c r="V5" s="50">
        <f>(V$3/$A5)*Assumptions!$C$6*V$3^Assumptions!$C$5</f>
        <v>250593.61681363636</v>
      </c>
    </row>
    <row r="6" spans="1:22" ht="15" customHeight="1" x14ac:dyDescent="0.2">
      <c r="A6" s="49">
        <v>3</v>
      </c>
      <c r="B6" s="50">
        <f>(B$3/$A6)*Assumptions!$C$6*B$3^Assumptions!$C$5</f>
        <v>3.333333333333333</v>
      </c>
      <c r="C6" s="50">
        <f>(C$3/$A6)*Assumptions!$C$6*C$3^Assumptions!$C$5</f>
        <v>16.994141697590162</v>
      </c>
      <c r="D6" s="50">
        <f>(D$3/$A6)*Assumptions!$C$6*D$3^Assumptions!$C$5</f>
        <v>44.067021138002225</v>
      </c>
      <c r="E6" s="50">
        <f>(E$3/$A6)*Assumptions!$C$6*E$3^Assumptions!$C$5</f>
        <v>86.640255611331781</v>
      </c>
      <c r="F6" s="50">
        <f>(F$3/$A6)*Assumptions!$C$6*F$3^Assumptions!$C$5</f>
        <v>146.37208374550229</v>
      </c>
      <c r="G6" s="50">
        <f>(G$3/$A6)*Assumptions!$C$6*G$3^Assumptions!$C$5</f>
        <v>224.66436042297317</v>
      </c>
      <c r="H6" s="50">
        <f>(H$3/$A6)*Assumptions!$C$6*H$3^Assumptions!$C$5</f>
        <v>322.74471497302397</v>
      </c>
      <c r="I6" s="50">
        <f>(I$3/$A6)*Assumptions!$C$6*I$3^Assumptions!$C$5</f>
        <v>441.71303417232099</v>
      </c>
      <c r="J6" s="50">
        <f>(J$3/$A6)*Assumptions!$C$6*J$3^Assumptions!$C$5</f>
        <v>582.57070559314036</v>
      </c>
      <c r="K6" s="50">
        <f>(K$3/$A6)*Assumptions!$C$6*K$3^Assumptions!$C$5</f>
        <v>746.24037952278024</v>
      </c>
      <c r="L6" s="50">
        <f>(L$3/$A6)*Assumptions!$C$6*L$3^Assumptions!$C$5</f>
        <v>1145.3933926279421</v>
      </c>
      <c r="M6" s="50">
        <f>(M$3/$A6)*Assumptions!$C$6*M$3^Assumptions!$C$5</f>
        <v>1645.4308255199749</v>
      </c>
      <c r="N6" s="50">
        <f>(N$3/$A6)*Assumptions!$C$6*N$3^Assumptions!$C$5</f>
        <v>2251.9601677190726</v>
      </c>
      <c r="O6" s="50">
        <f>(O$3/$A6)*Assumptions!$C$6*O$3^Assumptions!$C$5</f>
        <v>2970.0867359144722</v>
      </c>
      <c r="P6" s="50">
        <f>(P$3/$A6)*Assumptions!$C$6*P$3^Assumptions!$C$5</f>
        <v>3804.5144250220751</v>
      </c>
      <c r="Q6" s="50">
        <f>(Q$3/$A6)*Assumptions!$C$6*Q$3^Assumptions!$C$5</f>
        <v>6427.4360700000989</v>
      </c>
      <c r="R6" s="50">
        <f>(R$3/$A6)*Assumptions!$C$6*R$3^Assumptions!$C$5</f>
        <v>9865.3771735383452</v>
      </c>
      <c r="S6" s="50">
        <f>(S$3/$A6)*Assumptions!$C$6*S$3^Assumptions!$C$5</f>
        <v>19396.337168805283</v>
      </c>
      <c r="T6" s="50">
        <f>(T$3/$A6)*Assumptions!$C$6*T$3^Assumptions!$C$5</f>
        <v>32768.627797735142</v>
      </c>
      <c r="U6" s="50">
        <f>(U$3/$A6)*Assumptions!$C$6*U$3^Assumptions!$C$5</f>
        <v>84971.388347955668</v>
      </c>
      <c r="V6" s="50">
        <f>(V$3/$A6)*Assumptions!$C$6*V$3^Assumptions!$C$5</f>
        <v>167062.4112090909</v>
      </c>
    </row>
    <row r="7" spans="1:22" ht="15" customHeight="1" x14ac:dyDescent="0.2">
      <c r="A7" s="49">
        <v>4</v>
      </c>
      <c r="B7" s="50">
        <f>(B$3/$A7)*Assumptions!$C$6*B$3^Assumptions!$C$5</f>
        <v>2.5</v>
      </c>
      <c r="C7" s="50">
        <f>(C$3/$A7)*Assumptions!$C$6*C$3^Assumptions!$C$5</f>
        <v>12.745606273192623</v>
      </c>
      <c r="D7" s="50">
        <f>(D$3/$A7)*Assumptions!$C$6*D$3^Assumptions!$C$5</f>
        <v>33.050265853501671</v>
      </c>
      <c r="E7" s="50">
        <f>(E$3/$A7)*Assumptions!$C$6*E$3^Assumptions!$C$5</f>
        <v>64.98019170849885</v>
      </c>
      <c r="F7" s="50">
        <f>(F$3/$A7)*Assumptions!$C$6*F$3^Assumptions!$C$5</f>
        <v>109.7790628091267</v>
      </c>
      <c r="G7" s="50">
        <f>(G$3/$A7)*Assumptions!$C$6*G$3^Assumptions!$C$5</f>
        <v>168.49827031722987</v>
      </c>
      <c r="H7" s="50">
        <f>(H$3/$A7)*Assumptions!$C$6*H$3^Assumptions!$C$5</f>
        <v>242.05853622976795</v>
      </c>
      <c r="I7" s="50">
        <f>(I$3/$A7)*Assumptions!$C$6*I$3^Assumptions!$C$5</f>
        <v>331.28477562924076</v>
      </c>
      <c r="J7" s="50">
        <f>(J$3/$A7)*Assumptions!$C$6*J$3^Assumptions!$C$5</f>
        <v>436.9280291948553</v>
      </c>
      <c r="K7" s="50">
        <f>(K$3/$A7)*Assumptions!$C$6*K$3^Assumptions!$C$5</f>
        <v>559.6802846420851</v>
      </c>
      <c r="L7" s="50">
        <f>(L$3/$A7)*Assumptions!$C$6*L$3^Assumptions!$C$5</f>
        <v>859.04504447095655</v>
      </c>
      <c r="M7" s="50">
        <f>(M$3/$A7)*Assumptions!$C$6*M$3^Assumptions!$C$5</f>
        <v>1234.0731191399811</v>
      </c>
      <c r="N7" s="50">
        <f>(N$3/$A7)*Assumptions!$C$6*N$3^Assumptions!$C$5</f>
        <v>1688.9701257893046</v>
      </c>
      <c r="O7" s="50">
        <f>(O$3/$A7)*Assumptions!$C$6*O$3^Assumptions!$C$5</f>
        <v>2227.5650519358542</v>
      </c>
      <c r="P7" s="50">
        <f>(P$3/$A7)*Assumptions!$C$6*P$3^Assumptions!$C$5</f>
        <v>2853.385818766556</v>
      </c>
      <c r="Q7" s="50">
        <f>(Q$3/$A7)*Assumptions!$C$6*Q$3^Assumptions!$C$5</f>
        <v>4820.5770525000735</v>
      </c>
      <c r="R7" s="50">
        <f>(R$3/$A7)*Assumptions!$C$6*R$3^Assumptions!$C$5</f>
        <v>7399.032880153758</v>
      </c>
      <c r="S7" s="50">
        <f>(S$3/$A7)*Assumptions!$C$6*S$3^Assumptions!$C$5</f>
        <v>14547.25287660396</v>
      </c>
      <c r="T7" s="50">
        <f>(T$3/$A7)*Assumptions!$C$6*T$3^Assumptions!$C$5</f>
        <v>24576.470848301353</v>
      </c>
      <c r="U7" s="50">
        <f>(U$3/$A7)*Assumptions!$C$6*U$3^Assumptions!$C$5</f>
        <v>63728.541260966747</v>
      </c>
      <c r="V7" s="50">
        <f>(V$3/$A7)*Assumptions!$C$6*V$3^Assumptions!$C$5</f>
        <v>125296.80840681818</v>
      </c>
    </row>
    <row r="8" spans="1:22" ht="15" customHeight="1" x14ac:dyDescent="0.2">
      <c r="A8" s="49">
        <v>5</v>
      </c>
      <c r="B8" s="50">
        <f>(B$3/$A8)*Assumptions!$C$6*B$3^Assumptions!$C$5</f>
        <v>2</v>
      </c>
      <c r="C8" s="50">
        <f>(C$3/$A8)*Assumptions!$C$6*C$3^Assumptions!$C$5</f>
        <v>10.196485018554098</v>
      </c>
      <c r="D8" s="50">
        <f>(D$3/$A8)*Assumptions!$C$6*D$3^Assumptions!$C$5</f>
        <v>26.440212682801338</v>
      </c>
      <c r="E8" s="50">
        <f>(E$3/$A8)*Assumptions!$C$6*E$3^Assumptions!$C$5</f>
        <v>51.984153366799077</v>
      </c>
      <c r="F8" s="50">
        <f>(F$3/$A8)*Assumptions!$C$6*F$3^Assumptions!$C$5</f>
        <v>87.82325024730136</v>
      </c>
      <c r="G8" s="50">
        <f>(G$3/$A8)*Assumptions!$C$6*G$3^Assumptions!$C$5</f>
        <v>134.7986162537839</v>
      </c>
      <c r="H8" s="50">
        <f>(H$3/$A8)*Assumptions!$C$6*H$3^Assumptions!$C$5</f>
        <v>193.64682898381437</v>
      </c>
      <c r="I8" s="50">
        <f>(I$3/$A8)*Assumptions!$C$6*I$3^Assumptions!$C$5</f>
        <v>265.0278205033926</v>
      </c>
      <c r="J8" s="50">
        <f>(J$3/$A8)*Assumptions!$C$6*J$3^Assumptions!$C$5</f>
        <v>349.54242335588424</v>
      </c>
      <c r="K8" s="50">
        <f>(K$3/$A8)*Assumptions!$C$6*K$3^Assumptions!$C$5</f>
        <v>447.74422771366807</v>
      </c>
      <c r="L8" s="50">
        <f>(L$3/$A8)*Assumptions!$C$6*L$3^Assumptions!$C$5</f>
        <v>687.23603557676529</v>
      </c>
      <c r="M8" s="50">
        <f>(M$3/$A8)*Assumptions!$C$6*M$3^Assumptions!$C$5</f>
        <v>987.2584953119848</v>
      </c>
      <c r="N8" s="50">
        <f>(N$3/$A8)*Assumptions!$C$6*N$3^Assumptions!$C$5</f>
        <v>1351.1761006314437</v>
      </c>
      <c r="O8" s="50">
        <f>(O$3/$A8)*Assumptions!$C$6*O$3^Assumptions!$C$5</f>
        <v>1782.0520415486833</v>
      </c>
      <c r="P8" s="50">
        <f>(P$3/$A8)*Assumptions!$C$6*P$3^Assumptions!$C$5</f>
        <v>2282.7086550132449</v>
      </c>
      <c r="Q8" s="50">
        <f>(Q$3/$A8)*Assumptions!$C$6*Q$3^Assumptions!$C$5</f>
        <v>3856.4616420000589</v>
      </c>
      <c r="R8" s="50">
        <f>(R$3/$A8)*Assumptions!$C$6*R$3^Assumptions!$C$5</f>
        <v>5919.2263041230062</v>
      </c>
      <c r="S8" s="50">
        <f>(S$3/$A8)*Assumptions!$C$6*S$3^Assumptions!$C$5</f>
        <v>11637.802301283169</v>
      </c>
      <c r="T8" s="50">
        <f>(T$3/$A8)*Assumptions!$C$6*T$3^Assumptions!$C$5</f>
        <v>19661.176678641081</v>
      </c>
      <c r="U8" s="50">
        <f>(U$3/$A8)*Assumptions!$C$6*U$3^Assumptions!$C$5</f>
        <v>50982.833008773399</v>
      </c>
      <c r="V8" s="50">
        <f>(V$3/$A8)*Assumptions!$C$6*V$3^Assumptions!$C$5</f>
        <v>100237.44672545453</v>
      </c>
    </row>
    <row r="9" spans="1:22" ht="15" customHeight="1" x14ac:dyDescent="0.2">
      <c r="A9" s="49">
        <v>6</v>
      </c>
      <c r="B9" s="50">
        <f>(B$3/$A9)*Assumptions!$C$6*B$3^Assumptions!$C$5</f>
        <v>1.6666666666666665</v>
      </c>
      <c r="C9" s="50">
        <f>(C$3/$A9)*Assumptions!$C$6*C$3^Assumptions!$C$5</f>
        <v>8.4970708487950812</v>
      </c>
      <c r="D9" s="50">
        <f>(D$3/$A9)*Assumptions!$C$6*D$3^Assumptions!$C$5</f>
        <v>22.033510569001113</v>
      </c>
      <c r="E9" s="50">
        <f>(E$3/$A9)*Assumptions!$C$6*E$3^Assumptions!$C$5</f>
        <v>43.320127805665891</v>
      </c>
      <c r="F9" s="50">
        <f>(F$3/$A9)*Assumptions!$C$6*F$3^Assumptions!$C$5</f>
        <v>73.186041872751147</v>
      </c>
      <c r="G9" s="50">
        <f>(G$3/$A9)*Assumptions!$C$6*G$3^Assumptions!$C$5</f>
        <v>112.33218021148659</v>
      </c>
      <c r="H9" s="50">
        <f>(H$3/$A9)*Assumptions!$C$6*H$3^Assumptions!$C$5</f>
        <v>161.37235748651199</v>
      </c>
      <c r="I9" s="50">
        <f>(I$3/$A9)*Assumptions!$C$6*I$3^Assumptions!$C$5</f>
        <v>220.85651708616049</v>
      </c>
      <c r="J9" s="50">
        <f>(J$3/$A9)*Assumptions!$C$6*J$3^Assumptions!$C$5</f>
        <v>291.28535279657018</v>
      </c>
      <c r="K9" s="50">
        <f>(K$3/$A9)*Assumptions!$C$6*K$3^Assumptions!$C$5</f>
        <v>373.12018976139012</v>
      </c>
      <c r="L9" s="50">
        <f>(L$3/$A9)*Assumptions!$C$6*L$3^Assumptions!$C$5</f>
        <v>572.69669631397107</v>
      </c>
      <c r="M9" s="50">
        <f>(M$3/$A9)*Assumptions!$C$6*M$3^Assumptions!$C$5</f>
        <v>822.71541275998743</v>
      </c>
      <c r="N9" s="50">
        <f>(N$3/$A9)*Assumptions!$C$6*N$3^Assumptions!$C$5</f>
        <v>1125.9800838595363</v>
      </c>
      <c r="O9" s="50">
        <f>(O$3/$A9)*Assumptions!$C$6*O$3^Assumptions!$C$5</f>
        <v>1485.0433679572361</v>
      </c>
      <c r="P9" s="50">
        <f>(P$3/$A9)*Assumptions!$C$6*P$3^Assumptions!$C$5</f>
        <v>1902.2572125110376</v>
      </c>
      <c r="Q9" s="50">
        <f>(Q$3/$A9)*Assumptions!$C$6*Q$3^Assumptions!$C$5</f>
        <v>3213.7180350000494</v>
      </c>
      <c r="R9" s="50">
        <f>(R$3/$A9)*Assumptions!$C$6*R$3^Assumptions!$C$5</f>
        <v>4932.6885867691726</v>
      </c>
      <c r="S9" s="50">
        <f>(S$3/$A9)*Assumptions!$C$6*S$3^Assumptions!$C$5</f>
        <v>9698.1685844026415</v>
      </c>
      <c r="T9" s="50">
        <f>(T$3/$A9)*Assumptions!$C$6*T$3^Assumptions!$C$5</f>
        <v>16384.313898867571</v>
      </c>
      <c r="U9" s="50">
        <f>(U$3/$A9)*Assumptions!$C$6*U$3^Assumptions!$C$5</f>
        <v>42485.694173977834</v>
      </c>
      <c r="V9" s="50">
        <f>(V$3/$A9)*Assumptions!$C$6*V$3^Assumptions!$C$5</f>
        <v>83531.205604545452</v>
      </c>
    </row>
    <row r="10" spans="1:22" ht="15" customHeight="1" x14ac:dyDescent="0.2">
      <c r="A10" s="49">
        <v>7</v>
      </c>
      <c r="B10" s="50">
        <f>(B$3/$A10)*Assumptions!$C$6*B$3^Assumptions!$C$5</f>
        <v>1.4285714285714284</v>
      </c>
      <c r="C10" s="50">
        <f>(C$3/$A10)*Assumptions!$C$6*C$3^Assumptions!$C$5</f>
        <v>7.2832035846814973</v>
      </c>
      <c r="D10" s="50">
        <f>(D$3/$A10)*Assumptions!$C$6*D$3^Assumptions!$C$5</f>
        <v>18.885866202000955</v>
      </c>
      <c r="E10" s="50">
        <f>(E$3/$A10)*Assumptions!$C$6*E$3^Assumptions!$C$5</f>
        <v>37.131538119142192</v>
      </c>
      <c r="F10" s="50">
        <f>(F$3/$A10)*Assumptions!$C$6*F$3^Assumptions!$C$5</f>
        <v>62.730893033786693</v>
      </c>
      <c r="G10" s="50">
        <f>(G$3/$A10)*Assumptions!$C$6*G$3^Assumptions!$C$5</f>
        <v>96.28472589555993</v>
      </c>
      <c r="H10" s="50">
        <f>(H$3/$A10)*Assumptions!$C$6*H$3^Assumptions!$C$5</f>
        <v>138.31916355986741</v>
      </c>
      <c r="I10" s="50">
        <f>(I$3/$A10)*Assumptions!$C$6*I$3^Assumptions!$C$5</f>
        <v>189.30558607385183</v>
      </c>
      <c r="J10" s="50">
        <f>(J$3/$A10)*Assumptions!$C$6*J$3^Assumptions!$C$5</f>
        <v>249.67315953991732</v>
      </c>
      <c r="K10" s="50">
        <f>(K$3/$A10)*Assumptions!$C$6*K$3^Assumptions!$C$5</f>
        <v>319.81730550976295</v>
      </c>
      <c r="L10" s="50">
        <f>(L$3/$A10)*Assumptions!$C$6*L$3^Assumptions!$C$5</f>
        <v>490.88288255483235</v>
      </c>
      <c r="M10" s="50">
        <f>(M$3/$A10)*Assumptions!$C$6*M$3^Assumptions!$C$5</f>
        <v>705.18463950856062</v>
      </c>
      <c r="N10" s="50">
        <f>(N$3/$A10)*Assumptions!$C$6*N$3^Assumptions!$C$5</f>
        <v>965.12578616531675</v>
      </c>
      <c r="O10" s="50">
        <f>(O$3/$A10)*Assumptions!$C$6*O$3^Assumptions!$C$5</f>
        <v>1272.8943153919167</v>
      </c>
      <c r="P10" s="50">
        <f>(P$3/$A10)*Assumptions!$C$6*P$3^Assumptions!$C$5</f>
        <v>1630.5061821523179</v>
      </c>
      <c r="Q10" s="50">
        <f>(Q$3/$A10)*Assumptions!$C$6*Q$3^Assumptions!$C$5</f>
        <v>2754.6154585714708</v>
      </c>
      <c r="R10" s="50">
        <f>(R$3/$A10)*Assumptions!$C$6*R$3^Assumptions!$C$5</f>
        <v>4228.0187886592903</v>
      </c>
      <c r="S10" s="50">
        <f>(S$3/$A10)*Assumptions!$C$6*S$3^Assumptions!$C$5</f>
        <v>8312.7159294879784</v>
      </c>
      <c r="T10" s="50">
        <f>(T$3/$A10)*Assumptions!$C$6*T$3^Assumptions!$C$5</f>
        <v>14043.697627600772</v>
      </c>
      <c r="U10" s="50">
        <f>(U$3/$A10)*Assumptions!$C$6*U$3^Assumptions!$C$5</f>
        <v>36416.309291981001</v>
      </c>
      <c r="V10" s="50">
        <f>(V$3/$A10)*Assumptions!$C$6*V$3^Assumptions!$C$5</f>
        <v>71598.176232467522</v>
      </c>
    </row>
    <row r="11" spans="1:22" ht="15" customHeight="1" x14ac:dyDescent="0.2">
      <c r="A11" s="49">
        <v>8</v>
      </c>
      <c r="B11" s="50">
        <f>(B$3/$A11)*Assumptions!$C$6*B$3^Assumptions!$C$5</f>
        <v>1.25</v>
      </c>
      <c r="C11" s="50">
        <f>(C$3/$A11)*Assumptions!$C$6*C$3^Assumptions!$C$5</f>
        <v>6.3728031365963114</v>
      </c>
      <c r="D11" s="50">
        <f>(D$3/$A11)*Assumptions!$C$6*D$3^Assumptions!$C$5</f>
        <v>16.525132926750835</v>
      </c>
      <c r="E11" s="50">
        <f>(E$3/$A11)*Assumptions!$C$6*E$3^Assumptions!$C$5</f>
        <v>32.490095854249425</v>
      </c>
      <c r="F11" s="50">
        <f>(F$3/$A11)*Assumptions!$C$6*F$3^Assumptions!$C$5</f>
        <v>54.88953140456335</v>
      </c>
      <c r="G11" s="50">
        <f>(G$3/$A11)*Assumptions!$C$6*G$3^Assumptions!$C$5</f>
        <v>84.249135158614934</v>
      </c>
      <c r="H11" s="50">
        <f>(H$3/$A11)*Assumptions!$C$6*H$3^Assumptions!$C$5</f>
        <v>121.02926811488398</v>
      </c>
      <c r="I11" s="50">
        <f>(I$3/$A11)*Assumptions!$C$6*I$3^Assumptions!$C$5</f>
        <v>165.64238781462038</v>
      </c>
      <c r="J11" s="50">
        <f>(J$3/$A11)*Assumptions!$C$6*J$3^Assumptions!$C$5</f>
        <v>218.46401459742765</v>
      </c>
      <c r="K11" s="50">
        <f>(K$3/$A11)*Assumptions!$C$6*K$3^Assumptions!$C$5</f>
        <v>279.84014232104255</v>
      </c>
      <c r="L11" s="50">
        <f>(L$3/$A11)*Assumptions!$C$6*L$3^Assumptions!$C$5</f>
        <v>429.52252223547828</v>
      </c>
      <c r="M11" s="50">
        <f>(M$3/$A11)*Assumptions!$C$6*M$3^Assumptions!$C$5</f>
        <v>617.03655956999057</v>
      </c>
      <c r="N11" s="50">
        <f>(N$3/$A11)*Assumptions!$C$6*N$3^Assumptions!$C$5</f>
        <v>844.48506289465229</v>
      </c>
      <c r="O11" s="50">
        <f>(O$3/$A11)*Assumptions!$C$6*O$3^Assumptions!$C$5</f>
        <v>1113.7825259679271</v>
      </c>
      <c r="P11" s="50">
        <f>(P$3/$A11)*Assumptions!$C$6*P$3^Assumptions!$C$5</f>
        <v>1426.692909383278</v>
      </c>
      <c r="Q11" s="50">
        <f>(Q$3/$A11)*Assumptions!$C$6*Q$3^Assumptions!$C$5</f>
        <v>2410.2885262500367</v>
      </c>
      <c r="R11" s="50">
        <f>(R$3/$A11)*Assumptions!$C$6*R$3^Assumptions!$C$5</f>
        <v>3699.516440076879</v>
      </c>
      <c r="S11" s="50">
        <f>(S$3/$A11)*Assumptions!$C$6*S$3^Assumptions!$C$5</f>
        <v>7273.6264383019798</v>
      </c>
      <c r="T11" s="50">
        <f>(T$3/$A11)*Assumptions!$C$6*T$3^Assumptions!$C$5</f>
        <v>12288.235424150676</v>
      </c>
      <c r="U11" s="50">
        <f>(U$3/$A11)*Assumptions!$C$6*U$3^Assumptions!$C$5</f>
        <v>31864.270630483374</v>
      </c>
      <c r="V11" s="50">
        <f>(V$3/$A11)*Assumptions!$C$6*V$3^Assumptions!$C$5</f>
        <v>62648.404203409089</v>
      </c>
    </row>
    <row r="12" spans="1:22" ht="15" customHeight="1" x14ac:dyDescent="0.2">
      <c r="A12" s="49">
        <v>9</v>
      </c>
      <c r="B12" s="50">
        <f>(B$3/$A12)*Assumptions!$C$6*B$3^Assumptions!$C$5</f>
        <v>1.1111111111111112</v>
      </c>
      <c r="C12" s="50">
        <f>(C$3/$A12)*Assumptions!$C$6*C$3^Assumptions!$C$5</f>
        <v>5.6647138991967214</v>
      </c>
      <c r="D12" s="50">
        <f>(D$3/$A12)*Assumptions!$C$6*D$3^Assumptions!$C$5</f>
        <v>14.689007046000741</v>
      </c>
      <c r="E12" s="50">
        <f>(E$3/$A12)*Assumptions!$C$6*E$3^Assumptions!$C$5</f>
        <v>28.880085203777266</v>
      </c>
      <c r="F12" s="50">
        <f>(F$3/$A12)*Assumptions!$C$6*F$3^Assumptions!$C$5</f>
        <v>48.790694581834089</v>
      </c>
      <c r="G12" s="50">
        <f>(G$3/$A12)*Assumptions!$C$6*G$3^Assumptions!$C$5</f>
        <v>74.888120140991049</v>
      </c>
      <c r="H12" s="50">
        <f>(H$3/$A12)*Assumptions!$C$6*H$3^Assumptions!$C$5</f>
        <v>107.58157165767464</v>
      </c>
      <c r="I12" s="50">
        <f>(I$3/$A12)*Assumptions!$C$6*I$3^Assumptions!$C$5</f>
        <v>147.23767805744035</v>
      </c>
      <c r="J12" s="50">
        <f>(J$3/$A12)*Assumptions!$C$6*J$3^Assumptions!$C$5</f>
        <v>194.19023519771346</v>
      </c>
      <c r="K12" s="50">
        <f>(K$3/$A12)*Assumptions!$C$6*K$3^Assumptions!$C$5</f>
        <v>248.74679317426003</v>
      </c>
      <c r="L12" s="50">
        <f>(L$3/$A12)*Assumptions!$C$6*L$3^Assumptions!$C$5</f>
        <v>381.79779754264734</v>
      </c>
      <c r="M12" s="50">
        <f>(M$3/$A12)*Assumptions!$C$6*M$3^Assumptions!$C$5</f>
        <v>548.47694183999158</v>
      </c>
      <c r="N12" s="50">
        <f>(N$3/$A12)*Assumptions!$C$6*N$3^Assumptions!$C$5</f>
        <v>750.65338923969091</v>
      </c>
      <c r="O12" s="50">
        <f>(O$3/$A12)*Assumptions!$C$6*O$3^Assumptions!$C$5</f>
        <v>990.02891197149074</v>
      </c>
      <c r="P12" s="50">
        <f>(P$3/$A12)*Assumptions!$C$6*P$3^Assumptions!$C$5</f>
        <v>1268.1714750073581</v>
      </c>
      <c r="Q12" s="50">
        <f>(Q$3/$A12)*Assumptions!$C$6*Q$3^Assumptions!$C$5</f>
        <v>2142.4786900000327</v>
      </c>
      <c r="R12" s="50">
        <f>(R$3/$A12)*Assumptions!$C$6*R$3^Assumptions!$C$5</f>
        <v>3288.4590578461152</v>
      </c>
      <c r="S12" s="50">
        <f>(S$3/$A12)*Assumptions!$C$6*S$3^Assumptions!$C$5</f>
        <v>6465.4457229350928</v>
      </c>
      <c r="T12" s="50">
        <f>(T$3/$A12)*Assumptions!$C$6*T$3^Assumptions!$C$5</f>
        <v>10922.875932578379</v>
      </c>
      <c r="U12" s="50">
        <f>(U$3/$A12)*Assumptions!$C$6*U$3^Assumptions!$C$5</f>
        <v>28323.796115985224</v>
      </c>
      <c r="V12" s="50">
        <f>(V$3/$A12)*Assumptions!$C$6*V$3^Assumptions!$C$5</f>
        <v>55687.470403030304</v>
      </c>
    </row>
    <row r="13" spans="1:22" ht="15" customHeight="1" x14ac:dyDescent="0.2">
      <c r="A13" s="49">
        <v>10</v>
      </c>
      <c r="B13" s="50">
        <f>(B$3/$A13)*Assumptions!$C$6*B$3^Assumptions!$C$5</f>
        <v>1</v>
      </c>
      <c r="C13" s="50">
        <f>(C$3/$A13)*Assumptions!$C$6*C$3^Assumptions!$C$5</f>
        <v>5.0982425092770489</v>
      </c>
      <c r="D13" s="50">
        <f>(D$3/$A13)*Assumptions!$C$6*D$3^Assumptions!$C$5</f>
        <v>13.220106341400669</v>
      </c>
      <c r="E13" s="50">
        <f>(E$3/$A13)*Assumptions!$C$6*E$3^Assumptions!$C$5</f>
        <v>25.992076683399539</v>
      </c>
      <c r="F13" s="50">
        <f>(F$3/$A13)*Assumptions!$C$6*F$3^Assumptions!$C$5</f>
        <v>43.91162512365068</v>
      </c>
      <c r="G13" s="50">
        <f>(G$3/$A13)*Assumptions!$C$6*G$3^Assumptions!$C$5</f>
        <v>67.399308126891952</v>
      </c>
      <c r="H13" s="50">
        <f>(H$3/$A13)*Assumptions!$C$6*H$3^Assumptions!$C$5</f>
        <v>96.823414491907187</v>
      </c>
      <c r="I13" s="50">
        <f>(I$3/$A13)*Assumptions!$C$6*I$3^Assumptions!$C$5</f>
        <v>132.5139102516963</v>
      </c>
      <c r="J13" s="50">
        <f>(J$3/$A13)*Assumptions!$C$6*J$3^Assumptions!$C$5</f>
        <v>174.77121167794212</v>
      </c>
      <c r="K13" s="50">
        <f>(K$3/$A13)*Assumptions!$C$6*K$3^Assumptions!$C$5</f>
        <v>223.87211385683403</v>
      </c>
      <c r="L13" s="50">
        <f>(L$3/$A13)*Assumptions!$C$6*L$3^Assumptions!$C$5</f>
        <v>343.61801778838264</v>
      </c>
      <c r="M13" s="50">
        <f>(M$3/$A13)*Assumptions!$C$6*M$3^Assumptions!$C$5</f>
        <v>493.6292476559924</v>
      </c>
      <c r="N13" s="50">
        <f>(N$3/$A13)*Assumptions!$C$6*N$3^Assumptions!$C$5</f>
        <v>675.58805031572183</v>
      </c>
      <c r="O13" s="50">
        <f>(O$3/$A13)*Assumptions!$C$6*O$3^Assumptions!$C$5</f>
        <v>891.02602077434165</v>
      </c>
      <c r="P13" s="50">
        <f>(P$3/$A13)*Assumptions!$C$6*P$3^Assumptions!$C$5</f>
        <v>1141.3543275066224</v>
      </c>
      <c r="Q13" s="50">
        <f>(Q$3/$A13)*Assumptions!$C$6*Q$3^Assumptions!$C$5</f>
        <v>1928.2308210000294</v>
      </c>
      <c r="R13" s="50">
        <f>(R$3/$A13)*Assumptions!$C$6*R$3^Assumptions!$C$5</f>
        <v>2959.6131520615031</v>
      </c>
      <c r="S13" s="50">
        <f>(S$3/$A13)*Assumptions!$C$6*S$3^Assumptions!$C$5</f>
        <v>5818.9011506415845</v>
      </c>
      <c r="T13" s="50">
        <f>(T$3/$A13)*Assumptions!$C$6*T$3^Assumptions!$C$5</f>
        <v>9830.5883393205404</v>
      </c>
      <c r="U13" s="50">
        <f>(U$3/$A13)*Assumptions!$C$6*U$3^Assumptions!$C$5</f>
        <v>25491.4165043867</v>
      </c>
      <c r="V13" s="50">
        <f>(V$3/$A13)*Assumptions!$C$6*V$3^Assumptions!$C$5</f>
        <v>50118.723362727265</v>
      </c>
    </row>
    <row r="14" spans="1:22" ht="15" customHeight="1" x14ac:dyDescent="0.2">
      <c r="A14" s="49">
        <v>12</v>
      </c>
      <c r="B14" s="50">
        <f>(B$3/$A14)*Assumptions!$C$6*B$3^Assumptions!$C$5</f>
        <v>0.83333333333333326</v>
      </c>
      <c r="C14" s="50">
        <f>(C$3/$A14)*Assumptions!$C$6*C$3^Assumptions!$C$5</f>
        <v>4.2485354243975406</v>
      </c>
      <c r="D14" s="50">
        <f>(D$3/$A14)*Assumptions!$C$6*D$3^Assumptions!$C$5</f>
        <v>11.016755284500556</v>
      </c>
      <c r="E14" s="50">
        <f>(E$3/$A14)*Assumptions!$C$6*E$3^Assumptions!$C$5</f>
        <v>21.660063902832945</v>
      </c>
      <c r="F14" s="50">
        <f>(F$3/$A14)*Assumptions!$C$6*F$3^Assumptions!$C$5</f>
        <v>36.593020936375574</v>
      </c>
      <c r="G14" s="50">
        <f>(G$3/$A14)*Assumptions!$C$6*G$3^Assumptions!$C$5</f>
        <v>56.166090105743294</v>
      </c>
      <c r="H14" s="50">
        <f>(H$3/$A14)*Assumptions!$C$6*H$3^Assumptions!$C$5</f>
        <v>80.686178743255994</v>
      </c>
      <c r="I14" s="50">
        <f>(I$3/$A14)*Assumptions!$C$6*I$3^Assumptions!$C$5</f>
        <v>110.42825854308025</v>
      </c>
      <c r="J14" s="50">
        <f>(J$3/$A14)*Assumptions!$C$6*J$3^Assumptions!$C$5</f>
        <v>145.64267639828509</v>
      </c>
      <c r="K14" s="50">
        <f>(K$3/$A14)*Assumptions!$C$6*K$3^Assumptions!$C$5</f>
        <v>186.56009488069506</v>
      </c>
      <c r="L14" s="50">
        <f>(L$3/$A14)*Assumptions!$C$6*L$3^Assumptions!$C$5</f>
        <v>286.34834815698554</v>
      </c>
      <c r="M14" s="50">
        <f>(M$3/$A14)*Assumptions!$C$6*M$3^Assumptions!$C$5</f>
        <v>411.35770637999372</v>
      </c>
      <c r="N14" s="50">
        <f>(N$3/$A14)*Assumptions!$C$6*N$3^Assumptions!$C$5</f>
        <v>562.99004192976815</v>
      </c>
      <c r="O14" s="50">
        <f>(O$3/$A14)*Assumptions!$C$6*O$3^Assumptions!$C$5</f>
        <v>742.52168397861806</v>
      </c>
      <c r="P14" s="50">
        <f>(P$3/$A14)*Assumptions!$C$6*P$3^Assumptions!$C$5</f>
        <v>951.12860625551878</v>
      </c>
      <c r="Q14" s="50">
        <f>(Q$3/$A14)*Assumptions!$C$6*Q$3^Assumptions!$C$5</f>
        <v>1606.8590175000247</v>
      </c>
      <c r="R14" s="50">
        <f>(R$3/$A14)*Assumptions!$C$6*R$3^Assumptions!$C$5</f>
        <v>2466.3442933845863</v>
      </c>
      <c r="S14" s="50">
        <f>(S$3/$A14)*Assumptions!$C$6*S$3^Assumptions!$C$5</f>
        <v>4849.0842922013207</v>
      </c>
      <c r="T14" s="50">
        <f>(T$3/$A14)*Assumptions!$C$6*T$3^Assumptions!$C$5</f>
        <v>8192.1569494337855</v>
      </c>
      <c r="U14" s="50">
        <f>(U$3/$A14)*Assumptions!$C$6*U$3^Assumptions!$C$5</f>
        <v>21242.847086988917</v>
      </c>
      <c r="V14" s="50">
        <f>(V$3/$A14)*Assumptions!$C$6*V$3^Assumptions!$C$5</f>
        <v>41765.602802272726</v>
      </c>
    </row>
    <row r="15" spans="1:22" ht="15" customHeight="1" x14ac:dyDescent="0.2">
      <c r="A15" s="49">
        <v>14</v>
      </c>
      <c r="B15" s="50">
        <f>(B$3/$A15)*Assumptions!$C$6*B$3^Assumptions!$C$5</f>
        <v>0.71428571428571419</v>
      </c>
      <c r="C15" s="50">
        <f>(C$3/$A15)*Assumptions!$C$6*C$3^Assumptions!$C$5</f>
        <v>3.6416017923407487</v>
      </c>
      <c r="D15" s="50">
        <f>(D$3/$A15)*Assumptions!$C$6*D$3^Assumptions!$C$5</f>
        <v>9.4429331010004773</v>
      </c>
      <c r="E15" s="50">
        <f>(E$3/$A15)*Assumptions!$C$6*E$3^Assumptions!$C$5</f>
        <v>18.565769059571096</v>
      </c>
      <c r="F15" s="50">
        <f>(F$3/$A15)*Assumptions!$C$6*F$3^Assumptions!$C$5</f>
        <v>31.365446516893346</v>
      </c>
      <c r="G15" s="50">
        <f>(G$3/$A15)*Assumptions!$C$6*G$3^Assumptions!$C$5</f>
        <v>48.142362947779965</v>
      </c>
      <c r="H15" s="50">
        <f>(H$3/$A15)*Assumptions!$C$6*H$3^Assumptions!$C$5</f>
        <v>69.159581779933703</v>
      </c>
      <c r="I15" s="50">
        <f>(I$3/$A15)*Assumptions!$C$6*I$3^Assumptions!$C$5</f>
        <v>94.652793036925914</v>
      </c>
      <c r="J15" s="50">
        <f>(J$3/$A15)*Assumptions!$C$6*J$3^Assumptions!$C$5</f>
        <v>124.83657976995866</v>
      </c>
      <c r="K15" s="50">
        <f>(K$3/$A15)*Assumptions!$C$6*K$3^Assumptions!$C$5</f>
        <v>159.90865275488147</v>
      </c>
      <c r="L15" s="50">
        <f>(L$3/$A15)*Assumptions!$C$6*L$3^Assumptions!$C$5</f>
        <v>245.44144127741617</v>
      </c>
      <c r="M15" s="50">
        <f>(M$3/$A15)*Assumptions!$C$6*M$3^Assumptions!$C$5</f>
        <v>352.59231975428031</v>
      </c>
      <c r="N15" s="50">
        <f>(N$3/$A15)*Assumptions!$C$6*N$3^Assumptions!$C$5</f>
        <v>482.56289308265838</v>
      </c>
      <c r="O15" s="50">
        <f>(O$3/$A15)*Assumptions!$C$6*O$3^Assumptions!$C$5</f>
        <v>636.44715769595837</v>
      </c>
      <c r="P15" s="50">
        <f>(P$3/$A15)*Assumptions!$C$6*P$3^Assumptions!$C$5</f>
        <v>815.25309107615897</v>
      </c>
      <c r="Q15" s="50">
        <f>(Q$3/$A15)*Assumptions!$C$6*Q$3^Assumptions!$C$5</f>
        <v>1377.3077292857354</v>
      </c>
      <c r="R15" s="50">
        <f>(R$3/$A15)*Assumptions!$C$6*R$3^Assumptions!$C$5</f>
        <v>2114.0093943296451</v>
      </c>
      <c r="S15" s="50">
        <f>(S$3/$A15)*Assumptions!$C$6*S$3^Assumptions!$C$5</f>
        <v>4156.3579647439892</v>
      </c>
      <c r="T15" s="50">
        <f>(T$3/$A15)*Assumptions!$C$6*T$3^Assumptions!$C$5</f>
        <v>7021.8488138003859</v>
      </c>
      <c r="U15" s="50">
        <f>(U$3/$A15)*Assumptions!$C$6*U$3^Assumptions!$C$5</f>
        <v>18208.1546459905</v>
      </c>
      <c r="V15" s="50">
        <f>(V$3/$A15)*Assumptions!$C$6*V$3^Assumptions!$C$5</f>
        <v>35799.088116233761</v>
      </c>
    </row>
    <row r="16" spans="1:22" ht="15" customHeight="1" x14ac:dyDescent="0.2">
      <c r="A16" s="49">
        <v>16</v>
      </c>
      <c r="B16" s="50">
        <f>(B$3/$A16)*Assumptions!$C$6*B$3^Assumptions!$C$5</f>
        <v>0.625</v>
      </c>
      <c r="C16" s="50">
        <f>(C$3/$A16)*Assumptions!$C$6*C$3^Assumptions!$C$5</f>
        <v>3.1864015682981557</v>
      </c>
      <c r="D16" s="50">
        <f>(D$3/$A16)*Assumptions!$C$6*D$3^Assumptions!$C$5</f>
        <v>8.2625664633754177</v>
      </c>
      <c r="E16" s="50">
        <f>(E$3/$A16)*Assumptions!$C$6*E$3^Assumptions!$C$5</f>
        <v>16.245047927124713</v>
      </c>
      <c r="F16" s="50">
        <f>(F$3/$A16)*Assumptions!$C$6*F$3^Assumptions!$C$5</f>
        <v>27.444765702281675</v>
      </c>
      <c r="G16" s="50">
        <f>(G$3/$A16)*Assumptions!$C$6*G$3^Assumptions!$C$5</f>
        <v>42.124567579307467</v>
      </c>
      <c r="H16" s="50">
        <f>(H$3/$A16)*Assumptions!$C$6*H$3^Assumptions!$C$5</f>
        <v>60.514634057441988</v>
      </c>
      <c r="I16" s="50">
        <f>(I$3/$A16)*Assumptions!$C$6*I$3^Assumptions!$C$5</f>
        <v>82.821193907310189</v>
      </c>
      <c r="J16" s="50">
        <f>(J$3/$A16)*Assumptions!$C$6*J$3^Assumptions!$C$5</f>
        <v>109.23200729871382</v>
      </c>
      <c r="K16" s="50">
        <f>(K$3/$A16)*Assumptions!$C$6*K$3^Assumptions!$C$5</f>
        <v>139.92007116052127</v>
      </c>
      <c r="L16" s="50">
        <f>(L$3/$A16)*Assumptions!$C$6*L$3^Assumptions!$C$5</f>
        <v>214.76126111773914</v>
      </c>
      <c r="M16" s="50">
        <f>(M$3/$A16)*Assumptions!$C$6*M$3^Assumptions!$C$5</f>
        <v>308.51827978499529</v>
      </c>
      <c r="N16" s="50">
        <f>(N$3/$A16)*Assumptions!$C$6*N$3^Assumptions!$C$5</f>
        <v>422.24253144732614</v>
      </c>
      <c r="O16" s="50">
        <f>(O$3/$A16)*Assumptions!$C$6*O$3^Assumptions!$C$5</f>
        <v>556.89126298396354</v>
      </c>
      <c r="P16" s="50">
        <f>(P$3/$A16)*Assumptions!$C$6*P$3^Assumptions!$C$5</f>
        <v>713.346454691639</v>
      </c>
      <c r="Q16" s="50">
        <f>(Q$3/$A16)*Assumptions!$C$6*Q$3^Assumptions!$C$5</f>
        <v>1205.1442631250184</v>
      </c>
      <c r="R16" s="50">
        <f>(R$3/$A16)*Assumptions!$C$6*R$3^Assumptions!$C$5</f>
        <v>1849.7582200384395</v>
      </c>
      <c r="S16" s="50">
        <f>(S$3/$A16)*Assumptions!$C$6*S$3^Assumptions!$C$5</f>
        <v>3636.8132191509899</v>
      </c>
      <c r="T16" s="50">
        <f>(T$3/$A16)*Assumptions!$C$6*T$3^Assumptions!$C$5</f>
        <v>6144.1177120753382</v>
      </c>
      <c r="U16" s="50">
        <f>(U$3/$A16)*Assumptions!$C$6*U$3^Assumptions!$C$5</f>
        <v>15932.135315241687</v>
      </c>
      <c r="V16" s="50">
        <f>(V$3/$A16)*Assumptions!$C$6*V$3^Assumptions!$C$5</f>
        <v>31324.202101704544</v>
      </c>
    </row>
    <row r="17" spans="1:22" ht="15" customHeight="1" x14ac:dyDescent="0.2">
      <c r="A17" s="49">
        <v>18</v>
      </c>
      <c r="B17" s="50">
        <f>(B$3/$A17)*Assumptions!$C$6*B$3^Assumptions!$C$5</f>
        <v>0.55555555555555558</v>
      </c>
      <c r="C17" s="50">
        <f>(C$3/$A17)*Assumptions!$C$6*C$3^Assumptions!$C$5</f>
        <v>2.8323569495983607</v>
      </c>
      <c r="D17" s="50">
        <f>(D$3/$A17)*Assumptions!$C$6*D$3^Assumptions!$C$5</f>
        <v>7.3445035230003706</v>
      </c>
      <c r="E17" s="50">
        <f>(E$3/$A17)*Assumptions!$C$6*E$3^Assumptions!$C$5</f>
        <v>14.440042601888633</v>
      </c>
      <c r="F17" s="50">
        <f>(F$3/$A17)*Assumptions!$C$6*F$3^Assumptions!$C$5</f>
        <v>24.395347290917044</v>
      </c>
      <c r="G17" s="50">
        <f>(G$3/$A17)*Assumptions!$C$6*G$3^Assumptions!$C$5</f>
        <v>37.444060070495524</v>
      </c>
      <c r="H17" s="50">
        <f>(H$3/$A17)*Assumptions!$C$6*H$3^Assumptions!$C$5</f>
        <v>53.790785828837322</v>
      </c>
      <c r="I17" s="50">
        <f>(I$3/$A17)*Assumptions!$C$6*I$3^Assumptions!$C$5</f>
        <v>73.618839028720174</v>
      </c>
      <c r="J17" s="50">
        <f>(J$3/$A17)*Assumptions!$C$6*J$3^Assumptions!$C$5</f>
        <v>97.095117598856731</v>
      </c>
      <c r="K17" s="50">
        <f>(K$3/$A17)*Assumptions!$C$6*K$3^Assumptions!$C$5</f>
        <v>124.37339658713002</v>
      </c>
      <c r="L17" s="50">
        <f>(L$3/$A17)*Assumptions!$C$6*L$3^Assumptions!$C$5</f>
        <v>190.89889877132367</v>
      </c>
      <c r="M17" s="50">
        <f>(M$3/$A17)*Assumptions!$C$6*M$3^Assumptions!$C$5</f>
        <v>274.23847091999579</v>
      </c>
      <c r="N17" s="50">
        <f>(N$3/$A17)*Assumptions!$C$6*N$3^Assumptions!$C$5</f>
        <v>375.32669461984545</v>
      </c>
      <c r="O17" s="50">
        <f>(O$3/$A17)*Assumptions!$C$6*O$3^Assumptions!$C$5</f>
        <v>495.01445598574537</v>
      </c>
      <c r="P17" s="50">
        <f>(P$3/$A17)*Assumptions!$C$6*P$3^Assumptions!$C$5</f>
        <v>634.08573750367907</v>
      </c>
      <c r="Q17" s="50">
        <f>(Q$3/$A17)*Assumptions!$C$6*Q$3^Assumptions!$C$5</f>
        <v>1071.2393450000163</v>
      </c>
      <c r="R17" s="50">
        <f>(R$3/$A17)*Assumptions!$C$6*R$3^Assumptions!$C$5</f>
        <v>1644.2295289230576</v>
      </c>
      <c r="S17" s="50">
        <f>(S$3/$A17)*Assumptions!$C$6*S$3^Assumptions!$C$5</f>
        <v>3232.7228614675464</v>
      </c>
      <c r="T17" s="50">
        <f>(T$3/$A17)*Assumptions!$C$6*T$3^Assumptions!$C$5</f>
        <v>5461.4379662891897</v>
      </c>
      <c r="U17" s="50">
        <f>(U$3/$A17)*Assumptions!$C$6*U$3^Assumptions!$C$5</f>
        <v>14161.898057992612</v>
      </c>
      <c r="V17" s="50">
        <f>(V$3/$A17)*Assumptions!$C$6*V$3^Assumptions!$C$5</f>
        <v>27843.735201515152</v>
      </c>
    </row>
    <row r="18" spans="1:22" ht="15" customHeight="1" x14ac:dyDescent="0.2">
      <c r="A18" s="49">
        <v>20</v>
      </c>
      <c r="B18" s="50">
        <f>(B$3/$A18)*Assumptions!$C$6*B$3^Assumptions!$C$5</f>
        <v>0.5</v>
      </c>
      <c r="C18" s="50">
        <f>(C$3/$A18)*Assumptions!$C$6*C$3^Assumptions!$C$5</f>
        <v>2.5491212546385245</v>
      </c>
      <c r="D18" s="50">
        <f>(D$3/$A18)*Assumptions!$C$6*D$3^Assumptions!$C$5</f>
        <v>6.6100531707003345</v>
      </c>
      <c r="E18" s="50">
        <f>(E$3/$A18)*Assumptions!$C$6*E$3^Assumptions!$C$5</f>
        <v>12.996038341699769</v>
      </c>
      <c r="F18" s="50">
        <f>(F$3/$A18)*Assumptions!$C$6*F$3^Assumptions!$C$5</f>
        <v>21.95581256182534</v>
      </c>
      <c r="G18" s="50">
        <f>(G$3/$A18)*Assumptions!$C$6*G$3^Assumptions!$C$5</f>
        <v>33.699654063445976</v>
      </c>
      <c r="H18" s="50">
        <f>(H$3/$A18)*Assumptions!$C$6*H$3^Assumptions!$C$5</f>
        <v>48.411707245953593</v>
      </c>
      <c r="I18" s="50">
        <f>(I$3/$A18)*Assumptions!$C$6*I$3^Assumptions!$C$5</f>
        <v>66.256955125848151</v>
      </c>
      <c r="J18" s="50">
        <f>(J$3/$A18)*Assumptions!$C$6*J$3^Assumptions!$C$5</f>
        <v>87.38560583897106</v>
      </c>
      <c r="K18" s="50">
        <f>(K$3/$A18)*Assumptions!$C$6*K$3^Assumptions!$C$5</f>
        <v>111.93605692841702</v>
      </c>
      <c r="L18" s="50">
        <f>(L$3/$A18)*Assumptions!$C$6*L$3^Assumptions!$C$5</f>
        <v>171.80900889419132</v>
      </c>
      <c r="M18" s="50">
        <f>(M$3/$A18)*Assumptions!$C$6*M$3^Assumptions!$C$5</f>
        <v>246.8146238279962</v>
      </c>
      <c r="N18" s="50">
        <f>(N$3/$A18)*Assumptions!$C$6*N$3^Assumptions!$C$5</f>
        <v>337.79402515786091</v>
      </c>
      <c r="O18" s="50">
        <f>(O$3/$A18)*Assumptions!$C$6*O$3^Assumptions!$C$5</f>
        <v>445.51301038717082</v>
      </c>
      <c r="P18" s="50">
        <f>(P$3/$A18)*Assumptions!$C$6*P$3^Assumptions!$C$5</f>
        <v>570.67716375331122</v>
      </c>
      <c r="Q18" s="50">
        <f>(Q$3/$A18)*Assumptions!$C$6*Q$3^Assumptions!$C$5</f>
        <v>964.11541050001472</v>
      </c>
      <c r="R18" s="50">
        <f>(R$3/$A18)*Assumptions!$C$6*R$3^Assumptions!$C$5</f>
        <v>1479.8065760307516</v>
      </c>
      <c r="S18" s="50">
        <f>(S$3/$A18)*Assumptions!$C$6*S$3^Assumptions!$C$5</f>
        <v>2909.4505753207923</v>
      </c>
      <c r="T18" s="50">
        <f>(T$3/$A18)*Assumptions!$C$6*T$3^Assumptions!$C$5</f>
        <v>4915.2941696602702</v>
      </c>
      <c r="U18" s="50">
        <f>(U$3/$A18)*Assumptions!$C$6*U$3^Assumptions!$C$5</f>
        <v>12745.70825219335</v>
      </c>
      <c r="V18" s="50">
        <f>(V$3/$A18)*Assumptions!$C$6*V$3^Assumptions!$C$5</f>
        <v>25059.361681363633</v>
      </c>
    </row>
    <row r="19" spans="1:22" ht="15" customHeight="1" x14ac:dyDescent="0.2">
      <c r="A19" s="49">
        <v>25</v>
      </c>
      <c r="B19" s="50">
        <f>(B$3/$A19)*Assumptions!$C$6*B$3^Assumptions!$C$5</f>
        <v>0.4</v>
      </c>
      <c r="C19" s="50">
        <f>(C$3/$A19)*Assumptions!$C$6*C$3^Assumptions!$C$5</f>
        <v>2.0392970037108196</v>
      </c>
      <c r="D19" s="50">
        <f>(D$3/$A19)*Assumptions!$C$6*D$3^Assumptions!$C$5</f>
        <v>5.2880425365602672</v>
      </c>
      <c r="E19" s="50">
        <f>(E$3/$A19)*Assumptions!$C$6*E$3^Assumptions!$C$5</f>
        <v>10.396830673359815</v>
      </c>
      <c r="F19" s="50">
        <f>(F$3/$A19)*Assumptions!$C$6*F$3^Assumptions!$C$5</f>
        <v>17.564650049460273</v>
      </c>
      <c r="G19" s="50">
        <f>(G$3/$A19)*Assumptions!$C$6*G$3^Assumptions!$C$5</f>
        <v>26.959723250756781</v>
      </c>
      <c r="H19" s="50">
        <f>(H$3/$A19)*Assumptions!$C$6*H$3^Assumptions!$C$5</f>
        <v>38.729365796762877</v>
      </c>
      <c r="I19" s="50">
        <f>(I$3/$A19)*Assumptions!$C$6*I$3^Assumptions!$C$5</f>
        <v>53.005564100678527</v>
      </c>
      <c r="J19" s="50">
        <f>(J$3/$A19)*Assumptions!$C$6*J$3^Assumptions!$C$5</f>
        <v>69.908484671176836</v>
      </c>
      <c r="K19" s="50">
        <f>(K$3/$A19)*Assumptions!$C$6*K$3^Assumptions!$C$5</f>
        <v>89.548845542733616</v>
      </c>
      <c r="L19" s="50">
        <f>(L$3/$A19)*Assumptions!$C$6*L$3^Assumptions!$C$5</f>
        <v>137.44720711535305</v>
      </c>
      <c r="M19" s="50">
        <f>(M$3/$A19)*Assumptions!$C$6*M$3^Assumptions!$C$5</f>
        <v>197.45169906239698</v>
      </c>
      <c r="N19" s="50">
        <f>(N$3/$A19)*Assumptions!$C$6*N$3^Assumptions!$C$5</f>
        <v>270.23522012628877</v>
      </c>
      <c r="O19" s="50">
        <f>(O$3/$A19)*Assumptions!$C$6*O$3^Assumptions!$C$5</f>
        <v>356.41040830973662</v>
      </c>
      <c r="P19" s="50">
        <f>(P$3/$A19)*Assumptions!$C$6*P$3^Assumptions!$C$5</f>
        <v>456.54173100264899</v>
      </c>
      <c r="Q19" s="50">
        <f>(Q$3/$A19)*Assumptions!$C$6*Q$3^Assumptions!$C$5</f>
        <v>771.2923284000118</v>
      </c>
      <c r="R19" s="50">
        <f>(R$3/$A19)*Assumptions!$C$6*R$3^Assumptions!$C$5</f>
        <v>1183.8452608246014</v>
      </c>
      <c r="S19" s="50">
        <f>(S$3/$A19)*Assumptions!$C$6*S$3^Assumptions!$C$5</f>
        <v>2327.5604602566336</v>
      </c>
      <c r="T19" s="50">
        <f>(T$3/$A19)*Assumptions!$C$6*T$3^Assumptions!$C$5</f>
        <v>3932.2353357282163</v>
      </c>
      <c r="U19" s="50">
        <f>(U$3/$A19)*Assumptions!$C$6*U$3^Assumptions!$C$5</f>
        <v>10196.566601754679</v>
      </c>
      <c r="V19" s="50">
        <f>(V$3/$A19)*Assumptions!$C$6*V$3^Assumptions!$C$5</f>
        <v>20047.489345090908</v>
      </c>
    </row>
    <row r="20" spans="1:22" ht="15" customHeight="1" x14ac:dyDescent="0.2">
      <c r="A20" s="49">
        <v>30</v>
      </c>
      <c r="B20" s="50">
        <f>(B$3/$A20)*Assumptions!$C$6*B$3^Assumptions!$C$5</f>
        <v>0.33333333333333331</v>
      </c>
      <c r="C20" s="50">
        <f>(C$3/$A20)*Assumptions!$C$6*C$3^Assumptions!$C$5</f>
        <v>1.6994141697590162</v>
      </c>
      <c r="D20" s="50">
        <f>(D$3/$A20)*Assumptions!$C$6*D$3^Assumptions!$C$5</f>
        <v>4.4067021138002227</v>
      </c>
      <c r="E20" s="50">
        <f>(E$3/$A20)*Assumptions!$C$6*E$3^Assumptions!$C$5</f>
        <v>8.6640255611331796</v>
      </c>
      <c r="F20" s="50">
        <f>(F$3/$A20)*Assumptions!$C$6*F$3^Assumptions!$C$5</f>
        <v>14.637208374550227</v>
      </c>
      <c r="G20" s="50">
        <f>(G$3/$A20)*Assumptions!$C$6*G$3^Assumptions!$C$5</f>
        <v>22.466436042297317</v>
      </c>
      <c r="H20" s="50">
        <f>(H$3/$A20)*Assumptions!$C$6*H$3^Assumptions!$C$5</f>
        <v>32.274471497302393</v>
      </c>
      <c r="I20" s="50">
        <f>(I$3/$A20)*Assumptions!$C$6*I$3^Assumptions!$C$5</f>
        <v>44.171303417232096</v>
      </c>
      <c r="J20" s="50">
        <f>(J$3/$A20)*Assumptions!$C$6*J$3^Assumptions!$C$5</f>
        <v>58.257070559314045</v>
      </c>
      <c r="K20" s="50">
        <f>(K$3/$A20)*Assumptions!$C$6*K$3^Assumptions!$C$5</f>
        <v>74.624037952278002</v>
      </c>
      <c r="L20" s="50">
        <f>(L$3/$A20)*Assumptions!$C$6*L$3^Assumptions!$C$5</f>
        <v>114.53933926279421</v>
      </c>
      <c r="M20" s="50">
        <f>(M$3/$A20)*Assumptions!$C$6*M$3^Assumptions!$C$5</f>
        <v>164.54308255199749</v>
      </c>
      <c r="N20" s="50">
        <f>(N$3/$A20)*Assumptions!$C$6*N$3^Assumptions!$C$5</f>
        <v>225.19601677190727</v>
      </c>
      <c r="O20" s="50">
        <f>(O$3/$A20)*Assumptions!$C$6*O$3^Assumptions!$C$5</f>
        <v>297.00867359144718</v>
      </c>
      <c r="P20" s="50">
        <f>(P$3/$A20)*Assumptions!$C$6*P$3^Assumptions!$C$5</f>
        <v>380.45144250220744</v>
      </c>
      <c r="Q20" s="50">
        <f>(Q$3/$A20)*Assumptions!$C$6*Q$3^Assumptions!$C$5</f>
        <v>642.74360700000989</v>
      </c>
      <c r="R20" s="50">
        <f>(R$3/$A20)*Assumptions!$C$6*R$3^Assumptions!$C$5</f>
        <v>986.53771735383441</v>
      </c>
      <c r="S20" s="50">
        <f>(S$3/$A20)*Assumptions!$C$6*S$3^Assumptions!$C$5</f>
        <v>1939.6337168805278</v>
      </c>
      <c r="T20" s="50">
        <f>(T$3/$A20)*Assumptions!$C$6*T$3^Assumptions!$C$5</f>
        <v>3276.8627797735139</v>
      </c>
      <c r="U20" s="50">
        <f>(U$3/$A20)*Assumptions!$C$6*U$3^Assumptions!$C$5</f>
        <v>8497.1388347955672</v>
      </c>
      <c r="V20" s="50">
        <f>(V$3/$A20)*Assumptions!$C$6*V$3^Assumptions!$C$5</f>
        <v>16706.24112090909</v>
      </c>
    </row>
    <row r="21" spans="1:22" ht="15" customHeight="1" x14ac:dyDescent="0.2">
      <c r="A21" s="49">
        <v>40</v>
      </c>
      <c r="B21" s="50">
        <f>(B$3/$A21)*Assumptions!$C$6*B$3^Assumptions!$C$5</f>
        <v>0.25</v>
      </c>
      <c r="C21" s="50">
        <f>(C$3/$A21)*Assumptions!$C$6*C$3^Assumptions!$C$5</f>
        <v>1.2745606273192622</v>
      </c>
      <c r="D21" s="50">
        <f>(D$3/$A21)*Assumptions!$C$6*D$3^Assumptions!$C$5</f>
        <v>3.3050265853501672</v>
      </c>
      <c r="E21" s="50">
        <f>(E$3/$A21)*Assumptions!$C$6*E$3^Assumptions!$C$5</f>
        <v>6.4980191708498847</v>
      </c>
      <c r="F21" s="50">
        <f>(F$3/$A21)*Assumptions!$C$6*F$3^Assumptions!$C$5</f>
        <v>10.97790628091267</v>
      </c>
      <c r="G21" s="50">
        <f>(G$3/$A21)*Assumptions!$C$6*G$3^Assumptions!$C$5</f>
        <v>16.849827031722988</v>
      </c>
      <c r="H21" s="50">
        <f>(H$3/$A21)*Assumptions!$C$6*H$3^Assumptions!$C$5</f>
        <v>24.205853622976797</v>
      </c>
      <c r="I21" s="50">
        <f>(I$3/$A21)*Assumptions!$C$6*I$3^Assumptions!$C$5</f>
        <v>33.128477562924076</v>
      </c>
      <c r="J21" s="50">
        <f>(J$3/$A21)*Assumptions!$C$6*J$3^Assumptions!$C$5</f>
        <v>43.69280291948553</v>
      </c>
      <c r="K21" s="50">
        <f>(K$3/$A21)*Assumptions!$C$6*K$3^Assumptions!$C$5</f>
        <v>55.968028464208508</v>
      </c>
      <c r="L21" s="50">
        <f>(L$3/$A21)*Assumptions!$C$6*L$3^Assumptions!$C$5</f>
        <v>85.904504447095661</v>
      </c>
      <c r="M21" s="50">
        <f>(M$3/$A21)*Assumptions!$C$6*M$3^Assumptions!$C$5</f>
        <v>123.4073119139981</v>
      </c>
      <c r="N21" s="50">
        <f>(N$3/$A21)*Assumptions!$C$6*N$3^Assumptions!$C$5</f>
        <v>168.89701257893046</v>
      </c>
      <c r="O21" s="50">
        <f>(O$3/$A21)*Assumptions!$C$6*O$3^Assumptions!$C$5</f>
        <v>222.75650519358541</v>
      </c>
      <c r="P21" s="50">
        <f>(P$3/$A21)*Assumptions!$C$6*P$3^Assumptions!$C$5</f>
        <v>285.33858187665561</v>
      </c>
      <c r="Q21" s="50">
        <f>(Q$3/$A21)*Assumptions!$C$6*Q$3^Assumptions!$C$5</f>
        <v>482.05770525000736</v>
      </c>
      <c r="R21" s="50">
        <f>(R$3/$A21)*Assumptions!$C$6*R$3^Assumptions!$C$5</f>
        <v>739.90328801537578</v>
      </c>
      <c r="S21" s="50">
        <f>(S$3/$A21)*Assumptions!$C$6*S$3^Assumptions!$C$5</f>
        <v>1454.7252876603961</v>
      </c>
      <c r="T21" s="50">
        <f>(T$3/$A21)*Assumptions!$C$6*T$3^Assumptions!$C$5</f>
        <v>2457.6470848301351</v>
      </c>
      <c r="U21" s="50">
        <f>(U$3/$A21)*Assumptions!$C$6*U$3^Assumptions!$C$5</f>
        <v>6372.8541260966749</v>
      </c>
      <c r="V21" s="50">
        <f>(V$3/$A21)*Assumptions!$C$6*V$3^Assumptions!$C$5</f>
        <v>12529.680840681816</v>
      </c>
    </row>
    <row r="22" spans="1:22" ht="15" customHeight="1" x14ac:dyDescent="0.2">
      <c r="A22" s="49">
        <v>50</v>
      </c>
      <c r="B22" s="50">
        <f>(B$3/$A22)*Assumptions!$C$6*B$3^Assumptions!$C$5</f>
        <v>0.2</v>
      </c>
      <c r="C22" s="50">
        <f>(C$3/$A22)*Assumptions!$C$6*C$3^Assumptions!$C$5</f>
        <v>1.0196485018554098</v>
      </c>
      <c r="D22" s="50">
        <f>(D$3/$A22)*Assumptions!$C$6*D$3^Assumptions!$C$5</f>
        <v>2.6440212682801336</v>
      </c>
      <c r="E22" s="50">
        <f>(E$3/$A22)*Assumptions!$C$6*E$3^Assumptions!$C$5</f>
        <v>5.1984153366799077</v>
      </c>
      <c r="F22" s="50">
        <f>(F$3/$A22)*Assumptions!$C$6*F$3^Assumptions!$C$5</f>
        <v>8.7823250247301363</v>
      </c>
      <c r="G22" s="50">
        <f>(G$3/$A22)*Assumptions!$C$6*G$3^Assumptions!$C$5</f>
        <v>13.47986162537839</v>
      </c>
      <c r="H22" s="50">
        <f>(H$3/$A22)*Assumptions!$C$6*H$3^Assumptions!$C$5</f>
        <v>19.364682898381439</v>
      </c>
      <c r="I22" s="50">
        <f>(I$3/$A22)*Assumptions!$C$6*I$3^Assumptions!$C$5</f>
        <v>26.502782050339263</v>
      </c>
      <c r="J22" s="50">
        <f>(J$3/$A22)*Assumptions!$C$6*J$3^Assumptions!$C$5</f>
        <v>34.954242335588418</v>
      </c>
      <c r="K22" s="50">
        <f>(K$3/$A22)*Assumptions!$C$6*K$3^Assumptions!$C$5</f>
        <v>44.774422771366808</v>
      </c>
      <c r="L22" s="50">
        <f>(L$3/$A22)*Assumptions!$C$6*L$3^Assumptions!$C$5</f>
        <v>68.723603557676526</v>
      </c>
      <c r="M22" s="50">
        <f>(M$3/$A22)*Assumptions!$C$6*M$3^Assumptions!$C$5</f>
        <v>98.725849531198492</v>
      </c>
      <c r="N22" s="50">
        <f>(N$3/$A22)*Assumptions!$C$6*N$3^Assumptions!$C$5</f>
        <v>135.11761006314438</v>
      </c>
      <c r="O22" s="50">
        <f>(O$3/$A22)*Assumptions!$C$6*O$3^Assumptions!$C$5</f>
        <v>178.20520415486831</v>
      </c>
      <c r="P22" s="50">
        <f>(P$3/$A22)*Assumptions!$C$6*P$3^Assumptions!$C$5</f>
        <v>228.27086550132449</v>
      </c>
      <c r="Q22" s="50">
        <f>(Q$3/$A22)*Assumptions!$C$6*Q$3^Assumptions!$C$5</f>
        <v>385.6461642000059</v>
      </c>
      <c r="R22" s="50">
        <f>(R$3/$A22)*Assumptions!$C$6*R$3^Assumptions!$C$5</f>
        <v>591.92263041230069</v>
      </c>
      <c r="S22" s="50">
        <f>(S$3/$A22)*Assumptions!$C$6*S$3^Assumptions!$C$5</f>
        <v>1163.7802301283168</v>
      </c>
      <c r="T22" s="50">
        <f>(T$3/$A22)*Assumptions!$C$6*T$3^Assumptions!$C$5</f>
        <v>1966.1176678641082</v>
      </c>
      <c r="U22" s="50">
        <f>(U$3/$A22)*Assumptions!$C$6*U$3^Assumptions!$C$5</f>
        <v>5098.2833008773396</v>
      </c>
      <c r="V22" s="50">
        <f>(V$3/$A22)*Assumptions!$C$6*V$3^Assumptions!$C$5</f>
        <v>10023.744672545454</v>
      </c>
    </row>
    <row r="23" spans="1:22" ht="15" customHeight="1" x14ac:dyDescent="0.2">
      <c r="A23" s="49">
        <v>75</v>
      </c>
      <c r="B23" s="50">
        <f>(B$3/$A23)*Assumptions!$C$6*B$3^Assumptions!$C$5</f>
        <v>0.13333333333333333</v>
      </c>
      <c r="C23" s="50">
        <f>(C$3/$A23)*Assumptions!$C$6*C$3^Assumptions!$C$5</f>
        <v>0.67976566790360649</v>
      </c>
      <c r="D23" s="50">
        <f>(D$3/$A23)*Assumptions!$C$6*D$3^Assumptions!$C$5</f>
        <v>1.7626808455200891</v>
      </c>
      <c r="E23" s="50">
        <f>(E$3/$A23)*Assumptions!$C$6*E$3^Assumptions!$C$5</f>
        <v>3.4656102244532718</v>
      </c>
      <c r="F23" s="50">
        <f>(F$3/$A23)*Assumptions!$C$6*F$3^Assumptions!$C$5</f>
        <v>5.8548833498200903</v>
      </c>
      <c r="G23" s="50">
        <f>(G$3/$A23)*Assumptions!$C$6*G$3^Assumptions!$C$5</f>
        <v>8.986574416918927</v>
      </c>
      <c r="H23" s="50">
        <f>(H$3/$A23)*Assumptions!$C$6*H$3^Assumptions!$C$5</f>
        <v>12.909788598920958</v>
      </c>
      <c r="I23" s="50">
        <f>(I$3/$A23)*Assumptions!$C$6*I$3^Assumptions!$C$5</f>
        <v>17.66852136689284</v>
      </c>
      <c r="J23" s="50">
        <f>(J$3/$A23)*Assumptions!$C$6*J$3^Assumptions!$C$5</f>
        <v>23.302828223725616</v>
      </c>
      <c r="K23" s="50">
        <f>(K$3/$A23)*Assumptions!$C$6*K$3^Assumptions!$C$5</f>
        <v>29.849615180911204</v>
      </c>
      <c r="L23" s="50">
        <f>(L$3/$A23)*Assumptions!$C$6*L$3^Assumptions!$C$5</f>
        <v>45.815735705117689</v>
      </c>
      <c r="M23" s="50">
        <f>(M$3/$A23)*Assumptions!$C$6*M$3^Assumptions!$C$5</f>
        <v>65.817233020798994</v>
      </c>
      <c r="N23" s="50">
        <f>(N$3/$A23)*Assumptions!$C$6*N$3^Assumptions!$C$5</f>
        <v>90.078406708762913</v>
      </c>
      <c r="O23" s="50">
        <f>(O$3/$A23)*Assumptions!$C$6*O$3^Assumptions!$C$5</f>
        <v>118.80346943657888</v>
      </c>
      <c r="P23" s="50">
        <f>(P$3/$A23)*Assumptions!$C$6*P$3^Assumptions!$C$5</f>
        <v>152.18057700088298</v>
      </c>
      <c r="Q23" s="50">
        <f>(Q$3/$A23)*Assumptions!$C$6*Q$3^Assumptions!$C$5</f>
        <v>257.09744280000393</v>
      </c>
      <c r="R23" s="50">
        <f>(R$3/$A23)*Assumptions!$C$6*R$3^Assumptions!$C$5</f>
        <v>394.61508694153378</v>
      </c>
      <c r="S23" s="50">
        <f>(S$3/$A23)*Assumptions!$C$6*S$3^Assumptions!$C$5</f>
        <v>775.85348675221121</v>
      </c>
      <c r="T23" s="50">
        <f>(T$3/$A23)*Assumptions!$C$6*T$3^Assumptions!$C$5</f>
        <v>1310.7451119094053</v>
      </c>
      <c r="U23" s="50">
        <f>(U$3/$A23)*Assumptions!$C$6*U$3^Assumptions!$C$5</f>
        <v>3398.8555339182267</v>
      </c>
      <c r="V23" s="50">
        <f>(V$3/$A23)*Assumptions!$C$6*V$3^Assumptions!$C$5</f>
        <v>6682.496448363635</v>
      </c>
    </row>
    <row r="24" spans="1:22" ht="15" customHeight="1" x14ac:dyDescent="0.2">
      <c r="A24" s="49">
        <v>100</v>
      </c>
      <c r="B24" s="50">
        <f>(B$3/$A24)*Assumptions!$C$6*B$3^Assumptions!$C$5</f>
        <v>0.1</v>
      </c>
      <c r="C24" s="50">
        <f>(C$3/$A24)*Assumptions!$C$6*C$3^Assumptions!$C$5</f>
        <v>0.50982425092770489</v>
      </c>
      <c r="D24" s="50">
        <f>(D$3/$A24)*Assumptions!$C$6*D$3^Assumptions!$C$5</f>
        <v>1.3220106341400668</v>
      </c>
      <c r="E24" s="50">
        <f>(E$3/$A24)*Assumptions!$C$6*E$3^Assumptions!$C$5</f>
        <v>2.5992076683399539</v>
      </c>
      <c r="F24" s="50">
        <f>(F$3/$A24)*Assumptions!$C$6*F$3^Assumptions!$C$5</f>
        <v>4.3911625123650682</v>
      </c>
      <c r="G24" s="50">
        <f>(G$3/$A24)*Assumptions!$C$6*G$3^Assumptions!$C$5</f>
        <v>6.7399308126891952</v>
      </c>
      <c r="H24" s="50">
        <f>(H$3/$A24)*Assumptions!$C$6*H$3^Assumptions!$C$5</f>
        <v>9.6823414491907194</v>
      </c>
      <c r="I24" s="50">
        <f>(I$3/$A24)*Assumptions!$C$6*I$3^Assumptions!$C$5</f>
        <v>13.251391025169632</v>
      </c>
      <c r="J24" s="50">
        <f>(J$3/$A24)*Assumptions!$C$6*J$3^Assumptions!$C$5</f>
        <v>17.477121167794209</v>
      </c>
      <c r="K24" s="50">
        <f>(K$3/$A24)*Assumptions!$C$6*K$3^Assumptions!$C$5</f>
        <v>22.387211385683404</v>
      </c>
      <c r="L24" s="50">
        <f>(L$3/$A24)*Assumptions!$C$6*L$3^Assumptions!$C$5</f>
        <v>34.361801778838263</v>
      </c>
      <c r="M24" s="50">
        <f>(M$3/$A24)*Assumptions!$C$6*M$3^Assumptions!$C$5</f>
        <v>49.362924765599246</v>
      </c>
      <c r="N24" s="50">
        <f>(N$3/$A24)*Assumptions!$C$6*N$3^Assumptions!$C$5</f>
        <v>67.558805031572192</v>
      </c>
      <c r="O24" s="50">
        <f>(O$3/$A24)*Assumptions!$C$6*O$3^Assumptions!$C$5</f>
        <v>89.102602077434156</v>
      </c>
      <c r="P24" s="50">
        <f>(P$3/$A24)*Assumptions!$C$6*P$3^Assumptions!$C$5</f>
        <v>114.13543275066225</v>
      </c>
      <c r="Q24" s="50">
        <f>(Q$3/$A24)*Assumptions!$C$6*Q$3^Assumptions!$C$5</f>
        <v>192.82308210000295</v>
      </c>
      <c r="R24" s="50">
        <f>(R$3/$A24)*Assumptions!$C$6*R$3^Assumptions!$C$5</f>
        <v>295.96131520615035</v>
      </c>
      <c r="S24" s="50">
        <f>(S$3/$A24)*Assumptions!$C$6*S$3^Assumptions!$C$5</f>
        <v>581.89011506415841</v>
      </c>
      <c r="T24" s="50">
        <f>(T$3/$A24)*Assumptions!$C$6*T$3^Assumptions!$C$5</f>
        <v>983.05883393205409</v>
      </c>
      <c r="U24" s="50">
        <f>(U$3/$A24)*Assumptions!$C$6*U$3^Assumptions!$C$5</f>
        <v>2549.1416504386698</v>
      </c>
      <c r="V24" s="50">
        <f>(V$3/$A24)*Assumptions!$C$6*V$3^Assumptions!$C$5</f>
        <v>5011.8723362727269</v>
      </c>
    </row>
    <row r="26" spans="1:22" ht="15" customHeight="1" x14ac:dyDescent="0.2">
      <c r="A26" s="11" t="s">
        <v>75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 ht="15" customHeight="1" x14ac:dyDescent="0.2">
      <c r="A27" s="11" t="s">
        <v>76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 ht="15" customHeight="1" x14ac:dyDescent="0.2">
      <c r="A28" s="11" t="s">
        <v>77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</sheetData>
  <mergeCells count="5">
    <mergeCell ref="A1:V1"/>
    <mergeCell ref="A2:V2"/>
    <mergeCell ref="A26:V26"/>
    <mergeCell ref="A27:V27"/>
    <mergeCell ref="A28:V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6"/>
  <sheetViews>
    <sheetView zoomScaleNormal="100" workbookViewId="0">
      <selection activeCell="C23" sqref="C23"/>
    </sheetView>
  </sheetViews>
  <sheetFormatPr baseColWidth="10" defaultColWidth="8.6640625" defaultRowHeight="15" x14ac:dyDescent="0.2"/>
  <cols>
    <col min="1" max="1" width="36" customWidth="1"/>
    <col min="2" max="2" width="12" customWidth="1"/>
    <col min="3" max="3" width="40" customWidth="1"/>
    <col min="4" max="4" width="4" customWidth="1"/>
    <col min="5" max="5" width="2" customWidth="1"/>
    <col min="6" max="6" width="30" customWidth="1"/>
    <col min="7" max="7" width="12" customWidth="1"/>
    <col min="8" max="8" width="40" customWidth="1"/>
    <col min="9" max="10" width="4" customWidth="1"/>
  </cols>
  <sheetData>
    <row r="1" spans="1:10" ht="30" customHeight="1" x14ac:dyDescent="0.2">
      <c r="A1" s="12" t="s">
        <v>78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5" customHeight="1" x14ac:dyDescent="0.2">
      <c r="A2" s="11" t="s">
        <v>79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5" customHeight="1" x14ac:dyDescent="0.2">
      <c r="A3" s="9" t="s">
        <v>80</v>
      </c>
      <c r="B3" s="9"/>
      <c r="C3" s="9"/>
      <c r="D3" s="9"/>
    </row>
    <row r="4" spans="1:10" ht="15" customHeight="1" x14ac:dyDescent="0.2">
      <c r="A4" s="14" t="s">
        <v>81</v>
      </c>
      <c r="B4" s="56">
        <v>10</v>
      </c>
      <c r="C4" s="11"/>
      <c r="D4" s="11"/>
    </row>
    <row r="5" spans="1:10" ht="15" customHeight="1" x14ac:dyDescent="0.2">
      <c r="A5" s="18" t="s">
        <v>82</v>
      </c>
      <c r="B5" s="56">
        <v>10</v>
      </c>
      <c r="C5" s="11"/>
      <c r="D5" s="11"/>
    </row>
    <row r="6" spans="1:10" ht="15" customHeight="1" x14ac:dyDescent="0.2">
      <c r="A6" s="14" t="s">
        <v>83</v>
      </c>
      <c r="B6" s="56">
        <v>1</v>
      </c>
      <c r="C6" s="11"/>
      <c r="D6" s="11"/>
    </row>
    <row r="7" spans="1:10" ht="15" customHeight="1" x14ac:dyDescent="0.2">
      <c r="A7" s="18" t="s">
        <v>84</v>
      </c>
      <c r="B7" s="56">
        <v>1</v>
      </c>
      <c r="C7" s="11"/>
      <c r="D7" s="11"/>
    </row>
    <row r="8" spans="1:10" ht="21.75" customHeight="1" x14ac:dyDescent="0.2">
      <c r="A8" s="14" t="s">
        <v>85</v>
      </c>
      <c r="B8" s="57" t="s">
        <v>86</v>
      </c>
      <c r="C8" s="11" t="s">
        <v>87</v>
      </c>
      <c r="D8" s="11"/>
    </row>
    <row r="9" spans="1:10" ht="21.75" customHeight="1" x14ac:dyDescent="0.2">
      <c r="A9" s="18" t="s">
        <v>88</v>
      </c>
      <c r="B9" s="57" t="s">
        <v>162</v>
      </c>
      <c r="C9" s="11" t="s">
        <v>87</v>
      </c>
      <c r="D9" s="11"/>
    </row>
    <row r="10" spans="1:10" ht="15" customHeight="1" x14ac:dyDescent="0.2">
      <c r="A10" s="14" t="s">
        <v>89</v>
      </c>
      <c r="B10" s="58">
        <f>MAX(0,IF(B9="Basic",0,IF(B9="Elite",1,IF(B9="Rare",2,IF(B9="Epic",3,IF(B9="Apex",4,IF(B9="Legendary",5,6))))))-IF(B8="Basic",0,IF(B8="Elite",1,IF(B8="Rare",2,IF(B8="Epic",3,IF(B8="Apex",4,IF(B8="Legendary",5,6)))))))</f>
        <v>1</v>
      </c>
      <c r="C10" s="11" t="s">
        <v>90</v>
      </c>
      <c r="D10" s="11"/>
    </row>
    <row r="11" spans="1:10" ht="15" customHeight="1" x14ac:dyDescent="0.2">
      <c r="A11" s="11" t="s">
        <v>91</v>
      </c>
      <c r="B11" s="11"/>
      <c r="C11" s="11"/>
      <c r="D11" s="11"/>
    </row>
    <row r="13" spans="1:10" ht="15" customHeight="1" x14ac:dyDescent="0.2">
      <c r="A13" s="8" t="s">
        <v>92</v>
      </c>
      <c r="B13" s="8"/>
      <c r="C13" s="8"/>
      <c r="D13" s="8"/>
      <c r="F13" s="7" t="s">
        <v>93</v>
      </c>
      <c r="G13" s="7"/>
      <c r="H13" s="7"/>
      <c r="I13" s="7"/>
      <c r="J13" s="7"/>
    </row>
    <row r="14" spans="1:10" ht="15" customHeight="1" x14ac:dyDescent="0.2">
      <c r="A14" s="14" t="s">
        <v>94</v>
      </c>
      <c r="B14" s="59">
        <f>B5^Assumptions!C5*Assumptions!C6*B6*(B5/B4)</f>
        <v>223.87211385683403</v>
      </c>
      <c r="F14" s="7" t="s">
        <v>95</v>
      </c>
      <c r="G14" s="7"/>
      <c r="H14" s="7"/>
      <c r="I14" s="7"/>
    </row>
    <row r="15" spans="1:10" ht="15" customHeight="1" x14ac:dyDescent="0.2">
      <c r="A15" s="18" t="s">
        <v>96</v>
      </c>
      <c r="B15" s="118">
        <f>IF(B10=0,0,IF(B10=1,0.45,IF(B10=2,1.1,IF(B10=3,2,IF(B10=4,3.2,IF(B10=5,4.75,4.75+(B10-5)*1.8))))))</f>
        <v>0.45</v>
      </c>
      <c r="F15" s="14" t="s">
        <v>97</v>
      </c>
      <c r="G15" s="61">
        <v>3</v>
      </c>
      <c r="H15" s="11"/>
      <c r="I15" s="11"/>
      <c r="J15" s="11"/>
    </row>
    <row r="16" spans="1:10" ht="15" customHeight="1" x14ac:dyDescent="0.2">
      <c r="A16" s="14" t="s">
        <v>98</v>
      </c>
      <c r="B16" s="59">
        <f>IF(B9="Basic",0,IF(B9="Elite",70,IF(B9="Rare",175,IF(B9="Epic",470,IF(B9="Apex",1170,IF(B9="Legendary",2920,4670+(MATCH(B9,{"Basic","Elite","Rare","Epic","Apex","Legendary","Celestial"},0)-6)*1750))))))</f>
        <v>70</v>
      </c>
      <c r="F16" s="18" t="s">
        <v>99</v>
      </c>
      <c r="G16" s="56">
        <v>0.5</v>
      </c>
      <c r="H16" s="11"/>
      <c r="I16" s="11"/>
      <c r="J16" s="11"/>
    </row>
    <row r="17" spans="1:10" ht="15" customHeight="1" x14ac:dyDescent="0.2">
      <c r="A17" s="18" t="s">
        <v>100</v>
      </c>
      <c r="B17" s="60">
        <f>IF(B10&gt;0,B16*(B5/10),0)</f>
        <v>70</v>
      </c>
      <c r="F17" s="14" t="s">
        <v>101</v>
      </c>
      <c r="G17" s="61">
        <v>1</v>
      </c>
      <c r="H17" s="11"/>
      <c r="I17" s="11"/>
      <c r="J17" s="11"/>
    </row>
    <row r="18" spans="1:10" ht="15" customHeight="1" x14ac:dyDescent="0.2">
      <c r="A18" s="14" t="s">
        <v>102</v>
      </c>
      <c r="B18" s="59">
        <f>IF(B10&gt;0,B14*B15+B17,0)</f>
        <v>170.74245123557532</v>
      </c>
      <c r="F18" s="18" t="s">
        <v>103</v>
      </c>
      <c r="G18" s="57" t="s">
        <v>86</v>
      </c>
      <c r="H18" s="11" t="s">
        <v>104</v>
      </c>
      <c r="I18" s="11"/>
      <c r="J18" s="11"/>
    </row>
    <row r="19" spans="1:10" ht="15" customHeight="1" x14ac:dyDescent="0.2">
      <c r="A19" s="18" t="s">
        <v>105</v>
      </c>
      <c r="B19" s="60">
        <f>B14*IF(B7=1,Assumptions!C7,IF(B7=0.5,Assumptions!C9,Assumptions!C11))</f>
        <v>134.3232683141004</v>
      </c>
      <c r="F19" s="14" t="s">
        <v>106</v>
      </c>
      <c r="G19" s="58">
        <f>MAX(0,IF(B9="Basic",0,IF(B9="Elite",1,IF(B9="Rare",2,IF(B9="Epic",3,IF(B9="Apex",4,IF(B9="Legendary",5,6))))))-IF(G18="Basic",0,IF(G18="Elite",1,IF(G18="Rare",2,IF(G18="Epic",3,IF(G18="Apex",4,IF(G18="Legendary",5,6)))))))</f>
        <v>1</v>
      </c>
      <c r="H19" s="11" t="s">
        <v>107</v>
      </c>
      <c r="I19" s="11"/>
      <c r="J19" s="11"/>
    </row>
    <row r="20" spans="1:10" ht="15" customHeight="1" x14ac:dyDescent="0.2">
      <c r="A20" s="14" t="s">
        <v>108</v>
      </c>
      <c r="B20" s="59">
        <f>B14*IF(B7=1,Assumptions!C8,IF(B7=0.5,Assumptions!C10,Assumptions!C12))</f>
        <v>89.548845542733616</v>
      </c>
    </row>
    <row r="21" spans="1:10" ht="15" customHeight="1" x14ac:dyDescent="0.2">
      <c r="A21" s="18" t="s">
        <v>109</v>
      </c>
      <c r="B21" s="60">
        <f>B18*IF(B7=1,Assumptions!C7,IF(B7=0.5,Assumptions!C9,Assumptions!C11))</f>
        <v>102.44547074134519</v>
      </c>
      <c r="F21" s="7" t="s">
        <v>110</v>
      </c>
      <c r="G21" s="7"/>
      <c r="H21" s="7"/>
      <c r="I21" s="7"/>
    </row>
    <row r="22" spans="1:10" ht="15" customHeight="1" x14ac:dyDescent="0.2">
      <c r="A22" s="14" t="s">
        <v>111</v>
      </c>
      <c r="B22" s="59">
        <f>B18*IF(B7=1,Assumptions!C8,IF(B7=0.5,Assumptions!C10,Assumptions!C12))</f>
        <v>68.296980494230127</v>
      </c>
      <c r="F22" s="14" t="s">
        <v>112</v>
      </c>
      <c r="G22" s="59">
        <f>B14</f>
        <v>223.87211385683403</v>
      </c>
    </row>
    <row r="23" spans="1:10" ht="15" customHeight="1" x14ac:dyDescent="0.2">
      <c r="A23" s="62" t="s">
        <v>113</v>
      </c>
      <c r="B23" s="63">
        <f>B19+B21</f>
        <v>236.76873905544559</v>
      </c>
      <c r="F23" s="18" t="s">
        <v>114</v>
      </c>
      <c r="G23" s="60">
        <f>G22*G16</f>
        <v>111.93605692841702</v>
      </c>
    </row>
    <row r="24" spans="1:10" ht="15" customHeight="1" x14ac:dyDescent="0.2">
      <c r="A24" s="62" t="s">
        <v>115</v>
      </c>
      <c r="B24" s="63">
        <f>B20+B22</f>
        <v>157.84582603696373</v>
      </c>
      <c r="F24" s="14" t="s">
        <v>25</v>
      </c>
      <c r="G24" s="59">
        <f>IF(G17=1,G23*Assumptions!C13,0)</f>
        <v>44.774422771366808</v>
      </c>
    </row>
    <row r="25" spans="1:10" ht="15" customHeight="1" x14ac:dyDescent="0.2">
      <c r="F25" s="18" t="s">
        <v>116</v>
      </c>
      <c r="G25" s="60">
        <f>IF(G18="Basic",0,IF(G19=0,0,IF(B9="Elite",70,IF(B9="Rare",175,IF(B9="Epic",470,IF(B9="Apex",1170,IF(B9="Legendary",2920,4670)))))))</f>
        <v>0</v>
      </c>
    </row>
    <row r="26" spans="1:10" ht="15" customHeight="1" x14ac:dyDescent="0.2">
      <c r="A26" s="8" t="s">
        <v>117</v>
      </c>
      <c r="B26" s="8"/>
      <c r="F26" s="14" t="s">
        <v>118</v>
      </c>
      <c r="G26" s="59">
        <f>IF(G19&gt;0,G25*(B5/10),0)</f>
        <v>0</v>
      </c>
    </row>
    <row r="27" spans="1:10" ht="15" customHeight="1" x14ac:dyDescent="0.2">
      <c r="A27" s="62" t="s">
        <v>119</v>
      </c>
      <c r="B27" s="63">
        <f>B23</f>
        <v>236.76873905544559</v>
      </c>
      <c r="F27" s="18" t="s">
        <v>120</v>
      </c>
      <c r="G27" s="60">
        <f>IF(G19=0,0,IF(G19=1,0.45,IF(G19=2,1.1,IF(G19=3,2,IF(G19=4,3.2,IF(G19=5,4.75,4.75+(G19-5)*1.8))))))</f>
        <v>0.45</v>
      </c>
    </row>
    <row r="28" spans="1:10" ht="15" customHeight="1" x14ac:dyDescent="0.2">
      <c r="A28" s="64" t="s">
        <v>121</v>
      </c>
      <c r="B28" s="65">
        <f>B24</f>
        <v>157.84582603696373</v>
      </c>
      <c r="F28" s="14" t="s">
        <v>122</v>
      </c>
      <c r="G28" s="59">
        <f>IF(G19&gt;0,G22*G27+G26,0)</f>
        <v>100.74245123557532</v>
      </c>
    </row>
    <row r="29" spans="1:10" ht="15" customHeight="1" x14ac:dyDescent="0.2">
      <c r="A29" s="62" t="s">
        <v>123</v>
      </c>
      <c r="B29" s="66">
        <f>B23+B24</f>
        <v>394.61456509240929</v>
      </c>
      <c r="F29" s="18" t="s">
        <v>124</v>
      </c>
      <c r="G29" s="60">
        <f>G28*G16</f>
        <v>50.371225617787658</v>
      </c>
    </row>
    <row r="30" spans="1:10" ht="15" customHeight="1" x14ac:dyDescent="0.2">
      <c r="F30" s="62" t="s">
        <v>125</v>
      </c>
      <c r="G30" s="67">
        <f>G23+G24+G29</f>
        <v>207.0817053175715</v>
      </c>
    </row>
    <row r="31" spans="1:10" ht="15" customHeight="1" x14ac:dyDescent="0.2">
      <c r="F31" s="62" t="s">
        <v>126</v>
      </c>
      <c r="G31" s="67">
        <f>G30*IF(B7=1,Assumptions!C7,IF(B7=0.5,Assumptions!C9,Assumptions!C11))</f>
        <v>124.2490231905429</v>
      </c>
    </row>
    <row r="32" spans="1:10" ht="15" customHeight="1" x14ac:dyDescent="0.2">
      <c r="F32" s="62" t="s">
        <v>127</v>
      </c>
      <c r="G32" s="67">
        <f>G30*IF(B7=1,Assumptions!C8,IF(B7=0.5,Assumptions!C10,Assumptions!C12))</f>
        <v>82.832682127028605</v>
      </c>
    </row>
    <row r="34" spans="1:9" ht="15" customHeight="1" x14ac:dyDescent="0.2">
      <c r="F34" s="7" t="s">
        <v>128</v>
      </c>
      <c r="G34" s="7"/>
      <c r="H34" s="7"/>
      <c r="I34" s="7"/>
    </row>
    <row r="35" spans="1:9" ht="15" customHeight="1" x14ac:dyDescent="0.2">
      <c r="F35" s="62" t="s">
        <v>126</v>
      </c>
      <c r="G35" s="63">
        <f>G31</f>
        <v>124.2490231905429</v>
      </c>
    </row>
    <row r="36" spans="1:9" ht="15" customHeight="1" x14ac:dyDescent="0.2">
      <c r="F36" s="64" t="s">
        <v>127</v>
      </c>
      <c r="G36" s="65">
        <f>G32</f>
        <v>82.832682127028605</v>
      </c>
    </row>
    <row r="37" spans="1:9" ht="15" customHeight="1" x14ac:dyDescent="0.2">
      <c r="F37" s="62" t="s">
        <v>129</v>
      </c>
      <c r="G37" s="66">
        <f>G31+G32</f>
        <v>207.0817053175715</v>
      </c>
    </row>
    <row r="39" spans="1:9" ht="15" customHeight="1" x14ac:dyDescent="0.2">
      <c r="A39" s="12" t="s">
        <v>130</v>
      </c>
      <c r="B39" s="12"/>
      <c r="C39" s="12"/>
      <c r="D39" s="12"/>
    </row>
    <row r="40" spans="1:9" ht="15" customHeight="1" x14ac:dyDescent="0.2">
      <c r="A40" s="68" t="s">
        <v>131</v>
      </c>
      <c r="B40" s="68" t="s">
        <v>132</v>
      </c>
      <c r="C40" s="68" t="s">
        <v>133</v>
      </c>
      <c r="D40" s="68"/>
    </row>
    <row r="41" spans="1:9" ht="15" customHeight="1" x14ac:dyDescent="0.2">
      <c r="A41" s="14" t="s">
        <v>134</v>
      </c>
      <c r="B41" s="69" t="s">
        <v>135</v>
      </c>
      <c r="C41" s="14" t="s">
        <v>136</v>
      </c>
      <c r="D41" s="14"/>
    </row>
    <row r="42" spans="1:9" ht="15" customHeight="1" x14ac:dyDescent="0.2">
      <c r="A42" s="18" t="s">
        <v>137</v>
      </c>
      <c r="B42" s="70" t="s">
        <v>138</v>
      </c>
      <c r="C42" s="18" t="s">
        <v>139</v>
      </c>
      <c r="D42" s="18"/>
    </row>
    <row r="43" spans="1:9" ht="15" customHeight="1" x14ac:dyDescent="0.2">
      <c r="A43" s="14" t="s">
        <v>140</v>
      </c>
      <c r="B43" s="69" t="s">
        <v>141</v>
      </c>
      <c r="C43" s="14" t="s">
        <v>142</v>
      </c>
      <c r="D43" s="14"/>
    </row>
    <row r="44" spans="1:9" ht="15" customHeight="1" x14ac:dyDescent="0.2">
      <c r="A44" s="18" t="s">
        <v>143</v>
      </c>
      <c r="B44" s="70" t="s">
        <v>144</v>
      </c>
      <c r="C44" s="18" t="s">
        <v>145</v>
      </c>
      <c r="D44" s="18"/>
    </row>
    <row r="45" spans="1:9" ht="15" customHeight="1" x14ac:dyDescent="0.2">
      <c r="A45" s="14" t="s">
        <v>146</v>
      </c>
      <c r="B45" s="69" t="s">
        <v>147</v>
      </c>
      <c r="C45" s="14" t="s">
        <v>148</v>
      </c>
      <c r="D45" s="14"/>
    </row>
    <row r="46" spans="1:9" ht="15" customHeight="1" x14ac:dyDescent="0.2">
      <c r="A46" s="18" t="s">
        <v>149</v>
      </c>
      <c r="B46" s="70" t="s">
        <v>150</v>
      </c>
      <c r="C46" s="18"/>
      <c r="D46" s="18"/>
    </row>
  </sheetData>
  <mergeCells count="23">
    <mergeCell ref="A26:B26"/>
    <mergeCell ref="F34:I34"/>
    <mergeCell ref="A39:D39"/>
    <mergeCell ref="H16:J16"/>
    <mergeCell ref="H17:J17"/>
    <mergeCell ref="H18:J18"/>
    <mergeCell ref="H19:J19"/>
    <mergeCell ref="F21:I21"/>
    <mergeCell ref="A11:D11"/>
    <mergeCell ref="A13:D13"/>
    <mergeCell ref="F13:J13"/>
    <mergeCell ref="F14:I14"/>
    <mergeCell ref="H15:J15"/>
    <mergeCell ref="C6:D6"/>
    <mergeCell ref="C7:D7"/>
    <mergeCell ref="C8:D8"/>
    <mergeCell ref="C9:D9"/>
    <mergeCell ref="C10:D10"/>
    <mergeCell ref="A1:J1"/>
    <mergeCell ref="A2:J2"/>
    <mergeCell ref="A3:D3"/>
    <mergeCell ref="C4:D4"/>
    <mergeCell ref="C5:D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zoomScaleNormal="100" workbookViewId="0">
      <selection sqref="A1:G1"/>
    </sheetView>
  </sheetViews>
  <sheetFormatPr baseColWidth="10" defaultColWidth="8.6640625" defaultRowHeight="15" x14ac:dyDescent="0.2"/>
  <cols>
    <col min="1" max="1" width="20" customWidth="1"/>
    <col min="2" max="2" width="14" customWidth="1"/>
    <col min="3" max="3" width="18" customWidth="1"/>
    <col min="4" max="4" width="4" customWidth="1"/>
    <col min="5" max="5" width="22" customWidth="1"/>
    <col min="6" max="6" width="14" customWidth="1"/>
    <col min="7" max="7" width="20" customWidth="1"/>
  </cols>
  <sheetData>
    <row r="1" spans="1:7" ht="30" customHeight="1" x14ac:dyDescent="0.2">
      <c r="A1" s="12" t="s">
        <v>151</v>
      </c>
      <c r="B1" s="12"/>
      <c r="C1" s="12"/>
      <c r="D1" s="12"/>
      <c r="E1" s="12"/>
      <c r="F1" s="12"/>
      <c r="G1" s="12"/>
    </row>
    <row r="2" spans="1:7" ht="15" customHeight="1" x14ac:dyDescent="0.2">
      <c r="A2" s="8" t="s">
        <v>152</v>
      </c>
      <c r="B2" s="8"/>
      <c r="C2" s="8"/>
      <c r="E2" s="6" t="s">
        <v>153</v>
      </c>
      <c r="F2" s="6"/>
      <c r="G2" s="6"/>
    </row>
    <row r="3" spans="1:7" ht="15" customHeight="1" x14ac:dyDescent="0.2">
      <c r="A3" s="71" t="s">
        <v>154</v>
      </c>
      <c r="B3" s="71" t="s">
        <v>155</v>
      </c>
      <c r="C3" s="71" t="s">
        <v>156</v>
      </c>
      <c r="E3" s="72" t="s">
        <v>88</v>
      </c>
      <c r="F3" s="72" t="s">
        <v>157</v>
      </c>
      <c r="G3" s="72" t="s">
        <v>156</v>
      </c>
    </row>
    <row r="4" spans="1:7" ht="15" customHeight="1" x14ac:dyDescent="0.2">
      <c r="A4" s="69">
        <v>0</v>
      </c>
      <c r="B4" s="69" t="s">
        <v>158</v>
      </c>
      <c r="C4" s="69" t="s">
        <v>16</v>
      </c>
      <c r="E4" s="14" t="s">
        <v>159</v>
      </c>
      <c r="F4" s="73">
        <v>0</v>
      </c>
      <c r="G4" s="69" t="s">
        <v>16</v>
      </c>
    </row>
    <row r="5" spans="1:7" ht="15" customHeight="1" x14ac:dyDescent="0.2">
      <c r="A5" s="70">
        <v>1</v>
      </c>
      <c r="B5" s="74" t="s">
        <v>160</v>
      </c>
      <c r="C5" s="70" t="s">
        <v>161</v>
      </c>
      <c r="E5" s="18" t="s">
        <v>162</v>
      </c>
      <c r="F5" s="75">
        <v>70</v>
      </c>
      <c r="G5" s="70" t="s">
        <v>163</v>
      </c>
    </row>
    <row r="6" spans="1:7" ht="15" customHeight="1" x14ac:dyDescent="0.2">
      <c r="A6" s="69">
        <v>2</v>
      </c>
      <c r="B6" s="76" t="s">
        <v>164</v>
      </c>
      <c r="C6" s="69" t="s">
        <v>165</v>
      </c>
      <c r="E6" s="14" t="s">
        <v>166</v>
      </c>
      <c r="F6" s="73">
        <v>175</v>
      </c>
      <c r="G6" s="69" t="s">
        <v>167</v>
      </c>
    </row>
    <row r="7" spans="1:7" ht="15" customHeight="1" x14ac:dyDescent="0.2">
      <c r="A7" s="70">
        <v>3</v>
      </c>
      <c r="B7" s="74" t="s">
        <v>168</v>
      </c>
      <c r="C7" s="70" t="s">
        <v>169</v>
      </c>
      <c r="E7" s="18" t="s">
        <v>170</v>
      </c>
      <c r="F7" s="75">
        <v>470</v>
      </c>
      <c r="G7" s="70" t="s">
        <v>171</v>
      </c>
    </row>
    <row r="8" spans="1:7" ht="15" customHeight="1" x14ac:dyDescent="0.2">
      <c r="A8" s="69">
        <v>4</v>
      </c>
      <c r="B8" s="76" t="s">
        <v>172</v>
      </c>
      <c r="C8" s="69" t="s">
        <v>173</v>
      </c>
      <c r="E8" s="14" t="s">
        <v>174</v>
      </c>
      <c r="F8" s="73">
        <v>1170</v>
      </c>
      <c r="G8" s="69" t="s">
        <v>175</v>
      </c>
    </row>
    <row r="9" spans="1:7" ht="15" customHeight="1" x14ac:dyDescent="0.2">
      <c r="A9" s="70">
        <v>5</v>
      </c>
      <c r="B9" s="74" t="s">
        <v>176</v>
      </c>
      <c r="C9" s="70" t="s">
        <v>177</v>
      </c>
      <c r="E9" s="18" t="s">
        <v>178</v>
      </c>
      <c r="F9" s="75">
        <v>2920</v>
      </c>
      <c r="G9" s="70" t="s">
        <v>179</v>
      </c>
    </row>
    <row r="10" spans="1:7" ht="15" customHeight="1" x14ac:dyDescent="0.2">
      <c r="A10" s="69">
        <v>6</v>
      </c>
      <c r="B10" s="76" t="s">
        <v>180</v>
      </c>
      <c r="C10" s="69" t="s">
        <v>181</v>
      </c>
      <c r="E10" s="14" t="s">
        <v>182</v>
      </c>
      <c r="F10" s="73">
        <v>4670</v>
      </c>
      <c r="G10" s="69" t="s">
        <v>183</v>
      </c>
    </row>
    <row r="12" spans="1:7" ht="15" customHeight="1" x14ac:dyDescent="0.2">
      <c r="A12" s="11" t="s">
        <v>184</v>
      </c>
      <c r="B12" s="11"/>
      <c r="C12" s="11"/>
      <c r="D12" s="11"/>
      <c r="E12" s="11"/>
      <c r="F12" s="11"/>
      <c r="G12" s="11"/>
    </row>
  </sheetData>
  <mergeCells count="4">
    <mergeCell ref="A1:G1"/>
    <mergeCell ref="A2:C2"/>
    <mergeCell ref="E2:G2"/>
    <mergeCell ref="A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6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32" customWidth="1"/>
    <col min="2" max="2" width="12" customWidth="1"/>
    <col min="3" max="3" width="22" customWidth="1"/>
    <col min="4" max="4" width="18" customWidth="1"/>
    <col min="5" max="5" width="20" customWidth="1"/>
    <col min="6" max="6" width="44" customWidth="1"/>
  </cols>
  <sheetData>
    <row r="1" spans="1:6" ht="30" customHeight="1" x14ac:dyDescent="0.2">
      <c r="A1" s="12" t="s">
        <v>185</v>
      </c>
      <c r="B1" s="12"/>
      <c r="C1" s="12"/>
      <c r="D1" s="12"/>
      <c r="E1" s="12"/>
      <c r="F1" s="12"/>
    </row>
    <row r="2" spans="1:6" ht="15" customHeight="1" x14ac:dyDescent="0.2">
      <c r="A2" s="9" t="s">
        <v>186</v>
      </c>
      <c r="B2" s="9"/>
      <c r="C2" s="9"/>
      <c r="D2" s="9"/>
      <c r="E2" s="9"/>
      <c r="F2" s="9"/>
    </row>
    <row r="3" spans="1:6" ht="15" customHeight="1" x14ac:dyDescent="0.2">
      <c r="A3" s="13" t="s">
        <v>187</v>
      </c>
      <c r="B3" s="13" t="s">
        <v>188</v>
      </c>
      <c r="C3" s="13" t="s">
        <v>189</v>
      </c>
      <c r="D3" s="13" t="s">
        <v>190</v>
      </c>
      <c r="E3" s="13" t="s">
        <v>191</v>
      </c>
      <c r="F3" s="13" t="s">
        <v>192</v>
      </c>
    </row>
    <row r="4" spans="1:6" ht="15" customHeight="1" x14ac:dyDescent="0.2">
      <c r="A4" s="14" t="s">
        <v>193</v>
      </c>
      <c r="B4" s="77">
        <v>0.02</v>
      </c>
      <c r="C4" s="77">
        <v>0.08</v>
      </c>
      <c r="D4" s="77">
        <v>0.05</v>
      </c>
      <c r="E4" s="77">
        <v>0.15</v>
      </c>
      <c r="F4" s="69" t="s">
        <v>194</v>
      </c>
    </row>
    <row r="5" spans="1:6" ht="15" customHeight="1" x14ac:dyDescent="0.2">
      <c r="A5" s="18" t="s">
        <v>195</v>
      </c>
      <c r="B5" s="78">
        <v>0.05</v>
      </c>
      <c r="C5" s="78">
        <v>0.2</v>
      </c>
      <c r="D5" s="78">
        <v>0.1</v>
      </c>
      <c r="E5" s="78">
        <v>0.3</v>
      </c>
      <c r="F5" s="70" t="s">
        <v>196</v>
      </c>
    </row>
    <row r="6" spans="1:6" ht="15" customHeight="1" x14ac:dyDescent="0.2">
      <c r="A6" s="14" t="s">
        <v>197</v>
      </c>
      <c r="B6" s="77">
        <v>0.1</v>
      </c>
      <c r="C6" s="77">
        <v>0.35</v>
      </c>
      <c r="D6" s="77">
        <v>0.15</v>
      </c>
      <c r="E6" s="77">
        <v>0.5</v>
      </c>
      <c r="F6" s="69" t="s">
        <v>198</v>
      </c>
    </row>
    <row r="8" spans="1:6" ht="15" customHeight="1" x14ac:dyDescent="0.2">
      <c r="A8" s="7" t="s">
        <v>199</v>
      </c>
      <c r="B8" s="7"/>
      <c r="C8" s="7"/>
      <c r="D8" s="7"/>
    </row>
    <row r="9" spans="1:6" ht="15" customHeight="1" x14ac:dyDescent="0.2">
      <c r="A9" s="79" t="s">
        <v>200</v>
      </c>
      <c r="B9" s="79" t="s">
        <v>201</v>
      </c>
      <c r="C9" s="79" t="s">
        <v>202</v>
      </c>
      <c r="D9" s="79" t="s">
        <v>133</v>
      </c>
    </row>
    <row r="10" spans="1:6" ht="15" customHeight="1" x14ac:dyDescent="0.2">
      <c r="A10" s="80" t="s">
        <v>203</v>
      </c>
      <c r="B10" s="81" t="s">
        <v>204</v>
      </c>
      <c r="C10" s="81" t="s">
        <v>205</v>
      </c>
      <c r="D10" s="82" t="s">
        <v>206</v>
      </c>
    </row>
    <row r="11" spans="1:6" ht="15" customHeight="1" x14ac:dyDescent="0.2">
      <c r="A11" s="83" t="s">
        <v>207</v>
      </c>
      <c r="B11" s="84" t="s">
        <v>208</v>
      </c>
      <c r="C11" s="84" t="s">
        <v>209</v>
      </c>
      <c r="D11" s="85" t="s">
        <v>210</v>
      </c>
    </row>
    <row r="12" spans="1:6" ht="15" customHeight="1" x14ac:dyDescent="0.2">
      <c r="A12" s="86" t="s">
        <v>211</v>
      </c>
      <c r="B12" s="87" t="s">
        <v>212</v>
      </c>
      <c r="C12" s="87" t="s">
        <v>158</v>
      </c>
      <c r="D12" s="88" t="s">
        <v>213</v>
      </c>
    </row>
    <row r="14" spans="1:6" ht="15" customHeight="1" x14ac:dyDescent="0.2">
      <c r="A14" s="9" t="s">
        <v>214</v>
      </c>
      <c r="B14" s="9"/>
      <c r="C14" s="9"/>
    </row>
    <row r="15" spans="1:6" ht="15" customHeight="1" x14ac:dyDescent="0.2">
      <c r="A15" s="89" t="s">
        <v>215</v>
      </c>
      <c r="B15" s="90">
        <v>0.3</v>
      </c>
    </row>
    <row r="16" spans="1:6" ht="15" customHeight="1" x14ac:dyDescent="0.2">
      <c r="A16" s="89" t="s">
        <v>216</v>
      </c>
      <c r="B16" s="91">
        <f>IF(B15&lt;=0.3,B15,MIN(0.6,0.3+(B15-0.3)*0.5))</f>
        <v>0.3</v>
      </c>
    </row>
    <row r="17" spans="1:6" ht="15" customHeight="1" x14ac:dyDescent="0.2">
      <c r="A17" s="89" t="s">
        <v>217</v>
      </c>
      <c r="B17" s="90">
        <v>0.53</v>
      </c>
    </row>
    <row r="19" spans="1:6" ht="15" customHeight="1" x14ac:dyDescent="0.2">
      <c r="A19" s="8" t="s">
        <v>218</v>
      </c>
      <c r="B19" s="8"/>
      <c r="C19" s="8"/>
      <c r="D19" s="8"/>
      <c r="E19" s="8"/>
      <c r="F19" s="8"/>
    </row>
    <row r="20" spans="1:6" ht="15" customHeight="1" x14ac:dyDescent="0.2">
      <c r="A20" s="71" t="s">
        <v>187</v>
      </c>
      <c r="B20" s="71" t="s">
        <v>219</v>
      </c>
      <c r="C20" s="71" t="s">
        <v>220</v>
      </c>
      <c r="D20" s="71" t="s">
        <v>221</v>
      </c>
      <c r="E20" s="71" t="s">
        <v>192</v>
      </c>
      <c r="F20" s="71" t="s">
        <v>4</v>
      </c>
    </row>
    <row r="21" spans="1:6" ht="15" customHeight="1" x14ac:dyDescent="0.2">
      <c r="A21" s="14" t="s">
        <v>222</v>
      </c>
      <c r="B21" s="14" t="s">
        <v>197</v>
      </c>
      <c r="C21" s="77">
        <v>-0.13</v>
      </c>
      <c r="D21" s="77">
        <v>0.2</v>
      </c>
      <c r="E21" s="14" t="s">
        <v>223</v>
      </c>
      <c r="F21" s="14" t="s">
        <v>224</v>
      </c>
    </row>
    <row r="22" spans="1:6" ht="15" customHeight="1" x14ac:dyDescent="0.2">
      <c r="A22" s="18" t="s">
        <v>225</v>
      </c>
      <c r="B22" s="18" t="s">
        <v>195</v>
      </c>
      <c r="C22" s="78">
        <v>-0.08</v>
      </c>
      <c r="D22" s="78">
        <v>0.15</v>
      </c>
      <c r="E22" s="18" t="s">
        <v>196</v>
      </c>
      <c r="F22" s="18"/>
    </row>
    <row r="23" spans="1:6" ht="15" customHeight="1" x14ac:dyDescent="0.2">
      <c r="A23" s="14" t="s">
        <v>226</v>
      </c>
      <c r="B23" s="14" t="s">
        <v>195</v>
      </c>
      <c r="C23" s="77">
        <v>-0.05</v>
      </c>
      <c r="D23" s="77">
        <v>0.1</v>
      </c>
      <c r="E23" s="14" t="s">
        <v>196</v>
      </c>
      <c r="F23" s="14"/>
    </row>
    <row r="24" spans="1:6" ht="15" customHeight="1" x14ac:dyDescent="0.2">
      <c r="A24" s="18" t="s">
        <v>227</v>
      </c>
      <c r="B24" s="18" t="s">
        <v>193</v>
      </c>
      <c r="C24" s="78">
        <v>-0.04</v>
      </c>
      <c r="D24" s="78">
        <v>0.08</v>
      </c>
      <c r="E24" s="18" t="s">
        <v>194</v>
      </c>
      <c r="F24" s="18"/>
    </row>
    <row r="25" spans="1:6" ht="15" customHeight="1" x14ac:dyDescent="0.2">
      <c r="A25" s="62" t="s">
        <v>228</v>
      </c>
      <c r="B25" s="92">
        <v>-0.3</v>
      </c>
      <c r="C25" s="92">
        <v>0.53</v>
      </c>
      <c r="D25" s="62"/>
      <c r="E25" s="62"/>
    </row>
    <row r="26" spans="1:6" ht="15" customHeight="1" x14ac:dyDescent="0.2">
      <c r="A26" s="93" t="s">
        <v>229</v>
      </c>
      <c r="B26" s="94">
        <f>IF(-0.3&lt;=-0.3,-0.3,MIN(-0.6,-0.3+(-0.3+0.3)*0.5))</f>
        <v>-0.3</v>
      </c>
      <c r="C26" s="94">
        <v>0.53</v>
      </c>
    </row>
  </sheetData>
  <mergeCells count="5">
    <mergeCell ref="A1:F1"/>
    <mergeCell ref="A2:F2"/>
    <mergeCell ref="A8:D8"/>
    <mergeCell ref="A14:C14"/>
    <mergeCell ref="A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topLeftCell="B1" zoomScaleNormal="100" workbookViewId="0">
      <selection sqref="A1:G1"/>
    </sheetView>
  </sheetViews>
  <sheetFormatPr baseColWidth="10" defaultColWidth="8.6640625" defaultRowHeight="15" x14ac:dyDescent="0.2"/>
  <cols>
    <col min="1" max="1" width="28" customWidth="1"/>
    <col min="2" max="2" width="18" customWidth="1"/>
    <col min="3" max="3" width="14" customWidth="1"/>
    <col min="4" max="4" width="12" customWidth="1"/>
    <col min="5" max="5" width="14" customWidth="1"/>
    <col min="6" max="6" width="12" customWidth="1"/>
    <col min="7" max="7" width="48" customWidth="1"/>
  </cols>
  <sheetData>
    <row r="1" spans="1:7" ht="30" customHeight="1" x14ac:dyDescent="0.2">
      <c r="A1" s="12" t="s">
        <v>230</v>
      </c>
      <c r="B1" s="12"/>
      <c r="C1" s="12"/>
      <c r="D1" s="12"/>
      <c r="E1" s="12"/>
      <c r="F1" s="12"/>
      <c r="G1" s="12"/>
    </row>
    <row r="2" spans="1:7" ht="15" customHeight="1" x14ac:dyDescent="0.2">
      <c r="A2" s="13" t="s">
        <v>187</v>
      </c>
      <c r="B2" s="13" t="s">
        <v>231</v>
      </c>
      <c r="C2" s="13" t="s">
        <v>232</v>
      </c>
      <c r="D2" s="13" t="s">
        <v>233</v>
      </c>
      <c r="E2" s="13" t="s">
        <v>234</v>
      </c>
      <c r="F2" s="13" t="s">
        <v>235</v>
      </c>
      <c r="G2" s="13" t="s">
        <v>4</v>
      </c>
    </row>
    <row r="3" spans="1:7" ht="15" customHeight="1" x14ac:dyDescent="0.2">
      <c r="A3" s="95" t="s">
        <v>236</v>
      </c>
      <c r="B3" s="96">
        <v>0.5</v>
      </c>
      <c r="C3" s="96">
        <v>0.7</v>
      </c>
      <c r="D3" s="95" t="s">
        <v>237</v>
      </c>
      <c r="E3" s="96">
        <v>1</v>
      </c>
      <c r="F3" s="96">
        <v>0</v>
      </c>
      <c r="G3" s="95" t="s">
        <v>238</v>
      </c>
    </row>
    <row r="4" spans="1:7" ht="15" customHeight="1" x14ac:dyDescent="0.2">
      <c r="A4" s="97" t="s">
        <v>239</v>
      </c>
      <c r="B4" s="98">
        <v>0.3</v>
      </c>
      <c r="C4" s="98">
        <v>0.5</v>
      </c>
      <c r="D4" s="97" t="s">
        <v>240</v>
      </c>
      <c r="E4" s="98">
        <v>0.35</v>
      </c>
      <c r="F4" s="98">
        <v>0.65</v>
      </c>
      <c r="G4" s="97" t="s">
        <v>241</v>
      </c>
    </row>
    <row r="5" spans="1:7" ht="15" customHeight="1" x14ac:dyDescent="0.2">
      <c r="A5" s="95" t="s">
        <v>242</v>
      </c>
      <c r="B5" s="96">
        <v>0.2</v>
      </c>
      <c r="C5" s="96">
        <v>0.35</v>
      </c>
      <c r="D5" s="95" t="s">
        <v>237</v>
      </c>
      <c r="E5" s="96">
        <v>1</v>
      </c>
      <c r="F5" s="96">
        <v>0</v>
      </c>
      <c r="G5" s="95" t="s">
        <v>243</v>
      </c>
    </row>
    <row r="6" spans="1:7" ht="15" customHeight="1" x14ac:dyDescent="0.2">
      <c r="A6" s="99" t="s">
        <v>244</v>
      </c>
      <c r="B6" s="100">
        <v>0.1</v>
      </c>
      <c r="C6" s="100">
        <v>0.2</v>
      </c>
      <c r="D6" s="99" t="s">
        <v>245</v>
      </c>
      <c r="E6" s="100">
        <v>0</v>
      </c>
      <c r="F6" s="100">
        <v>1</v>
      </c>
      <c r="G6" s="99" t="s">
        <v>246</v>
      </c>
    </row>
    <row r="8" spans="1:7" ht="15" customHeight="1" x14ac:dyDescent="0.2">
      <c r="A8" s="11" t="s">
        <v>247</v>
      </c>
      <c r="B8" s="11"/>
      <c r="C8" s="11"/>
      <c r="D8" s="11"/>
      <c r="E8" s="11"/>
      <c r="F8" s="11"/>
      <c r="G8" s="11"/>
    </row>
    <row r="10" spans="1:7" ht="15" customHeight="1" x14ac:dyDescent="0.2">
      <c r="A10" s="9" t="s">
        <v>248</v>
      </c>
      <c r="B10" s="9"/>
      <c r="C10" s="9"/>
      <c r="D10" s="9"/>
      <c r="E10" s="9"/>
    </row>
    <row r="11" spans="1:7" ht="15" customHeight="1" x14ac:dyDescent="0.2">
      <c r="A11" s="13" t="s">
        <v>249</v>
      </c>
      <c r="B11" s="13" t="s">
        <v>250</v>
      </c>
      <c r="C11" s="13" t="s">
        <v>251</v>
      </c>
      <c r="D11" s="13" t="s">
        <v>252</v>
      </c>
      <c r="E11" s="13" t="s">
        <v>253</v>
      </c>
    </row>
    <row r="12" spans="1:7" ht="15" customHeight="1" x14ac:dyDescent="0.2">
      <c r="A12" s="101" t="s">
        <v>254</v>
      </c>
      <c r="B12" s="102" t="s">
        <v>255</v>
      </c>
      <c r="C12" s="103">
        <v>0.6</v>
      </c>
      <c r="D12" s="103">
        <v>0.4</v>
      </c>
      <c r="E12" s="102" t="s">
        <v>256</v>
      </c>
    </row>
    <row r="13" spans="1:7" ht="15" customHeight="1" x14ac:dyDescent="0.2">
      <c r="A13" s="104" t="s">
        <v>257</v>
      </c>
      <c r="B13" s="105" t="s">
        <v>258</v>
      </c>
      <c r="C13" s="106">
        <v>0.2</v>
      </c>
      <c r="D13" s="106">
        <v>0.8</v>
      </c>
      <c r="E13" s="105" t="s">
        <v>259</v>
      </c>
    </row>
    <row r="14" spans="1:7" ht="15" customHeight="1" x14ac:dyDescent="0.2">
      <c r="A14" s="107" t="s">
        <v>260</v>
      </c>
      <c r="B14" s="108" t="s">
        <v>261</v>
      </c>
      <c r="C14" s="109">
        <v>0</v>
      </c>
      <c r="D14" s="109">
        <v>1</v>
      </c>
      <c r="E14" s="108" t="s">
        <v>262</v>
      </c>
    </row>
  </sheetData>
  <mergeCells count="3">
    <mergeCell ref="A1:G1"/>
    <mergeCell ref="A8:G8"/>
    <mergeCell ref="A10:E10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36" customWidth="1"/>
    <col min="2" max="2" width="16" customWidth="1"/>
    <col min="3" max="3" width="36" customWidth="1"/>
    <col min="4" max="5" width="16" customWidth="1"/>
    <col min="6" max="6" width="4" customWidth="1"/>
  </cols>
  <sheetData>
    <row r="1" spans="1:6" ht="30" customHeight="1" x14ac:dyDescent="0.2">
      <c r="A1" s="12" t="s">
        <v>263</v>
      </c>
      <c r="B1" s="12"/>
      <c r="C1" s="12"/>
      <c r="D1" s="12"/>
      <c r="E1" s="12"/>
      <c r="F1" s="12"/>
    </row>
    <row r="2" spans="1:6" ht="15" customHeight="1" x14ac:dyDescent="0.2">
      <c r="A2" s="11" t="s">
        <v>264</v>
      </c>
      <c r="B2" s="11"/>
      <c r="C2" s="11"/>
      <c r="D2" s="11"/>
      <c r="E2" s="11"/>
      <c r="F2" s="11"/>
    </row>
    <row r="3" spans="1:6" ht="15" customHeight="1" x14ac:dyDescent="0.2">
      <c r="A3" s="9" t="s">
        <v>265</v>
      </c>
      <c r="B3" s="9"/>
      <c r="C3" s="9"/>
      <c r="D3" s="9"/>
    </row>
    <row r="4" spans="1:6" ht="21.75" customHeight="1" x14ac:dyDescent="0.2">
      <c r="A4" s="62" t="s">
        <v>266</v>
      </c>
      <c r="B4" s="5">
        <f>D10*(D8+1)^Assumptions!C5</f>
        <v>5079.6507628038098</v>
      </c>
      <c r="C4" s="5"/>
      <c r="D4" s="4" t="s">
        <v>267</v>
      </c>
      <c r="E4" s="4"/>
      <c r="F4" s="4"/>
    </row>
    <row r="5" spans="1:6" ht="21.75" customHeight="1" x14ac:dyDescent="0.2">
      <c r="A5" s="64" t="s">
        <v>268</v>
      </c>
      <c r="B5" s="3">
        <f>D11*(D9+1)^Assumptions!C3</f>
        <v>65688.718669709662</v>
      </c>
      <c r="C5" s="3"/>
      <c r="D5" s="2" t="s">
        <v>269</v>
      </c>
      <c r="E5" s="2"/>
      <c r="F5" s="2"/>
    </row>
    <row r="7" spans="1:6" ht="15" customHeight="1" x14ac:dyDescent="0.2">
      <c r="A7" s="8" t="s">
        <v>270</v>
      </c>
      <c r="B7" s="8"/>
      <c r="C7" s="8"/>
      <c r="D7" s="8"/>
      <c r="E7" s="8"/>
      <c r="F7" s="8"/>
    </row>
    <row r="8" spans="1:6" ht="15" customHeight="1" x14ac:dyDescent="0.2">
      <c r="A8" s="1" t="s">
        <v>271</v>
      </c>
      <c r="B8" s="1"/>
      <c r="C8" s="1"/>
      <c r="D8" s="57">
        <v>100</v>
      </c>
    </row>
    <row r="9" spans="1:6" ht="15" customHeight="1" x14ac:dyDescent="0.2">
      <c r="A9" s="1" t="s">
        <v>272</v>
      </c>
      <c r="B9" s="1"/>
      <c r="C9" s="1"/>
      <c r="D9" s="57">
        <v>50</v>
      </c>
    </row>
    <row r="10" spans="1:6" ht="15" customHeight="1" x14ac:dyDescent="0.2">
      <c r="A10" s="1" t="s">
        <v>273</v>
      </c>
      <c r="B10" s="1"/>
      <c r="C10" s="1"/>
      <c r="D10" s="110">
        <f>Assumptions!C6</f>
        <v>10</v>
      </c>
    </row>
    <row r="11" spans="1:6" ht="15" customHeight="1" x14ac:dyDescent="0.2">
      <c r="A11" s="1" t="s">
        <v>274</v>
      </c>
      <c r="B11" s="1"/>
      <c r="C11" s="1"/>
      <c r="D11" s="110">
        <f>Assumptions!C4</f>
        <v>100</v>
      </c>
    </row>
    <row r="12" spans="1:6" ht="15" customHeight="1" x14ac:dyDescent="0.2">
      <c r="A12" s="1" t="s">
        <v>275</v>
      </c>
      <c r="B12" s="1"/>
      <c r="C12" s="1"/>
      <c r="D12" s="63">
        <f>D10*(D8+1)^Assumptions!$C$5</f>
        <v>5079.6507628038098</v>
      </c>
    </row>
    <row r="13" spans="1:6" ht="15" customHeight="1" x14ac:dyDescent="0.2">
      <c r="A13" s="1" t="s">
        <v>276</v>
      </c>
      <c r="B13" s="1"/>
      <c r="C13" s="1"/>
      <c r="D13" s="63">
        <f>D11*(D9+1)^Assumptions!$C$3</f>
        <v>65688.718669709662</v>
      </c>
    </row>
    <row r="15" spans="1:6" ht="15" customHeight="1" x14ac:dyDescent="0.2">
      <c r="A15" s="6" t="s">
        <v>277</v>
      </c>
      <c r="B15" s="6"/>
      <c r="C15" s="6"/>
      <c r="D15" s="6"/>
      <c r="E15" s="6"/>
      <c r="F15" s="6"/>
    </row>
    <row r="16" spans="1:6" ht="15" customHeight="1" x14ac:dyDescent="0.2">
      <c r="A16" s="14" t="s">
        <v>278</v>
      </c>
      <c r="B16" s="63">
        <f>1^Assumptions!$C$5*D12</f>
        <v>5079.6507628038098</v>
      </c>
      <c r="C16" s="14" t="s">
        <v>279</v>
      </c>
      <c r="D16" s="111">
        <f>(D9+1)^Assumptions!$C$5*Assumptions!$C$6</f>
        <v>2019.3878444635877</v>
      </c>
      <c r="E16" s="17" t="s">
        <v>280</v>
      </c>
    </row>
    <row r="17" spans="1:5" ht="15" customHeight="1" x14ac:dyDescent="0.2">
      <c r="A17" s="18" t="s">
        <v>281</v>
      </c>
      <c r="B17" s="112">
        <f>1^Assumptions!$C$3*D13</f>
        <v>65688.718669709662</v>
      </c>
      <c r="C17" s="18" t="s">
        <v>282</v>
      </c>
      <c r="D17" s="65">
        <f>(D9+1)^Assumptions!$C$3*Assumptions!$C$4</f>
        <v>65688.718669709662</v>
      </c>
      <c r="E17" s="21" t="s">
        <v>280</v>
      </c>
    </row>
  </sheetData>
  <mergeCells count="15">
    <mergeCell ref="A10:C10"/>
    <mergeCell ref="A11:C11"/>
    <mergeCell ref="A12:C12"/>
    <mergeCell ref="A13:C13"/>
    <mergeCell ref="A15:F15"/>
    <mergeCell ref="B5:C5"/>
    <mergeCell ref="D5:F5"/>
    <mergeCell ref="A7:F7"/>
    <mergeCell ref="A8:C8"/>
    <mergeCell ref="A9:C9"/>
    <mergeCell ref="A1:F1"/>
    <mergeCell ref="A2:F2"/>
    <mergeCell ref="A3:D3"/>
    <mergeCell ref="B4:C4"/>
    <mergeCell ref="D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8"/>
  <sheetViews>
    <sheetView zoomScaleNormal="100" workbookViewId="0">
      <selection sqref="A1:G1"/>
    </sheetView>
  </sheetViews>
  <sheetFormatPr baseColWidth="10" defaultColWidth="8.6640625" defaultRowHeight="15" x14ac:dyDescent="0.2"/>
  <cols>
    <col min="1" max="1" width="14" customWidth="1"/>
    <col min="2" max="2" width="12" customWidth="1"/>
    <col min="3" max="3" width="32" customWidth="1"/>
    <col min="4" max="4" width="16" customWidth="1"/>
    <col min="5" max="5" width="40" customWidth="1"/>
  </cols>
  <sheetData>
    <row r="1" spans="1:7" ht="30" customHeight="1" x14ac:dyDescent="0.2">
      <c r="A1" s="12" t="s">
        <v>283</v>
      </c>
      <c r="B1" s="12"/>
      <c r="C1" s="12"/>
      <c r="D1" s="12"/>
      <c r="E1" s="12"/>
      <c r="F1" s="12"/>
      <c r="G1" s="12"/>
    </row>
    <row r="2" spans="1:7" ht="15" customHeight="1" x14ac:dyDescent="0.2">
      <c r="A2" s="8" t="s">
        <v>284</v>
      </c>
      <c r="B2" s="8"/>
      <c r="C2" s="8"/>
      <c r="D2" s="8"/>
    </row>
    <row r="3" spans="1:7" ht="15" customHeight="1" x14ac:dyDescent="0.2">
      <c r="A3" s="71" t="s">
        <v>38</v>
      </c>
      <c r="B3" s="71" t="s">
        <v>285</v>
      </c>
      <c r="C3" s="71" t="s">
        <v>286</v>
      </c>
      <c r="D3" s="71" t="s">
        <v>287</v>
      </c>
    </row>
    <row r="4" spans="1:7" ht="15" customHeight="1" x14ac:dyDescent="0.2">
      <c r="A4" s="62" t="s">
        <v>43</v>
      </c>
      <c r="B4" s="69" t="s">
        <v>288</v>
      </c>
      <c r="C4" s="69">
        <v>15</v>
      </c>
      <c r="D4" s="69">
        <v>25</v>
      </c>
    </row>
    <row r="5" spans="1:7" ht="15" customHeight="1" x14ac:dyDescent="0.2">
      <c r="A5" s="64" t="s">
        <v>50</v>
      </c>
      <c r="B5" s="70" t="s">
        <v>289</v>
      </c>
      <c r="C5" s="70">
        <v>30</v>
      </c>
      <c r="D5" s="70">
        <v>50</v>
      </c>
    </row>
    <row r="6" spans="1:7" ht="15" customHeight="1" x14ac:dyDescent="0.2">
      <c r="A6" s="62" t="s">
        <v>55</v>
      </c>
      <c r="B6" s="69" t="s">
        <v>290</v>
      </c>
      <c r="C6" s="69">
        <v>60</v>
      </c>
      <c r="D6" s="69">
        <v>100</v>
      </c>
    </row>
    <row r="7" spans="1:7" ht="15" customHeight="1" x14ac:dyDescent="0.2">
      <c r="A7" s="64" t="s">
        <v>60</v>
      </c>
      <c r="B7" s="70" t="s">
        <v>58</v>
      </c>
      <c r="C7" s="70" t="s">
        <v>291</v>
      </c>
      <c r="D7" s="70" t="s">
        <v>291</v>
      </c>
    </row>
    <row r="9" spans="1:7" ht="15" customHeight="1" x14ac:dyDescent="0.2">
      <c r="A9" s="9" t="s">
        <v>292</v>
      </c>
      <c r="B9" s="9"/>
      <c r="C9" s="9"/>
      <c r="D9" s="9"/>
      <c r="E9" s="9"/>
    </row>
    <row r="10" spans="1:7" ht="15" customHeight="1" x14ac:dyDescent="0.2">
      <c r="A10" s="13" t="s">
        <v>293</v>
      </c>
      <c r="B10" s="13" t="s">
        <v>294</v>
      </c>
      <c r="C10" s="13" t="s">
        <v>295</v>
      </c>
      <c r="D10" s="13" t="s">
        <v>296</v>
      </c>
      <c r="E10" s="13" t="s">
        <v>4</v>
      </c>
    </row>
    <row r="11" spans="1:7" ht="15" customHeight="1" x14ac:dyDescent="0.2">
      <c r="A11" s="62" t="s">
        <v>86</v>
      </c>
      <c r="B11" s="69" t="s">
        <v>297</v>
      </c>
      <c r="C11" s="69" t="s">
        <v>298</v>
      </c>
      <c r="D11" s="69" t="s">
        <v>299</v>
      </c>
      <c r="E11" s="14" t="s">
        <v>300</v>
      </c>
    </row>
    <row r="12" spans="1:7" ht="15" customHeight="1" x14ac:dyDescent="0.2">
      <c r="A12" s="64" t="s">
        <v>162</v>
      </c>
      <c r="B12" s="70" t="s">
        <v>298</v>
      </c>
      <c r="C12" s="70" t="s">
        <v>299</v>
      </c>
      <c r="D12" s="70" t="s">
        <v>301</v>
      </c>
      <c r="E12" s="18" t="s">
        <v>302</v>
      </c>
    </row>
    <row r="13" spans="1:7" ht="15" customHeight="1" x14ac:dyDescent="0.2">
      <c r="A13" s="62" t="s">
        <v>166</v>
      </c>
      <c r="B13" s="69" t="s">
        <v>299</v>
      </c>
      <c r="C13" s="69" t="s">
        <v>303</v>
      </c>
      <c r="D13" s="69" t="s">
        <v>304</v>
      </c>
      <c r="E13" s="14" t="s">
        <v>305</v>
      </c>
    </row>
    <row r="14" spans="1:7" ht="15" customHeight="1" x14ac:dyDescent="0.2">
      <c r="A14" s="64" t="s">
        <v>170</v>
      </c>
      <c r="B14" s="70" t="s">
        <v>301</v>
      </c>
      <c r="C14" s="70" t="s">
        <v>304</v>
      </c>
      <c r="D14" s="70" t="s">
        <v>306</v>
      </c>
      <c r="E14" s="18" t="s">
        <v>307</v>
      </c>
    </row>
    <row r="15" spans="1:7" ht="15" customHeight="1" x14ac:dyDescent="0.2">
      <c r="A15" s="62" t="s">
        <v>174</v>
      </c>
      <c r="B15" s="69" t="s">
        <v>308</v>
      </c>
      <c r="C15" s="69" t="s">
        <v>306</v>
      </c>
      <c r="D15" s="69" t="s">
        <v>309</v>
      </c>
      <c r="E15" s="14" t="s">
        <v>310</v>
      </c>
    </row>
    <row r="17" spans="1:5" ht="15" customHeight="1" x14ac:dyDescent="0.2">
      <c r="A17" s="7" t="s">
        <v>311</v>
      </c>
      <c r="B17" s="7"/>
      <c r="C17" s="7"/>
      <c r="D17" s="7"/>
      <c r="E17" s="7"/>
    </row>
    <row r="18" spans="1:5" ht="15" customHeight="1" x14ac:dyDescent="0.2">
      <c r="A18" s="79" t="s">
        <v>34</v>
      </c>
      <c r="B18" s="79" t="s">
        <v>312</v>
      </c>
      <c r="C18" s="79" t="s">
        <v>313</v>
      </c>
      <c r="D18" s="79" t="s">
        <v>314</v>
      </c>
      <c r="E18" s="79" t="s">
        <v>4</v>
      </c>
    </row>
    <row r="19" spans="1:5" ht="15" customHeight="1" x14ac:dyDescent="0.2">
      <c r="A19" s="113" t="s">
        <v>41</v>
      </c>
      <c r="B19" s="114" t="s">
        <v>315</v>
      </c>
      <c r="C19" s="115" t="s">
        <v>316</v>
      </c>
      <c r="D19" s="115" t="s">
        <v>317</v>
      </c>
      <c r="E19" s="115" t="s">
        <v>318</v>
      </c>
    </row>
    <row r="20" spans="1:5" ht="15" customHeight="1" x14ac:dyDescent="0.2">
      <c r="A20" s="113" t="s">
        <v>41</v>
      </c>
      <c r="B20" s="114" t="s">
        <v>319</v>
      </c>
      <c r="C20" s="115" t="s">
        <v>320</v>
      </c>
      <c r="D20" s="115" t="s">
        <v>321</v>
      </c>
      <c r="E20" s="115" t="s">
        <v>322</v>
      </c>
    </row>
    <row r="21" spans="1:5" ht="15" customHeight="1" x14ac:dyDescent="0.2">
      <c r="A21" s="113" t="s">
        <v>41</v>
      </c>
      <c r="B21" s="114" t="s">
        <v>323</v>
      </c>
      <c r="C21" s="115" t="s">
        <v>324</v>
      </c>
      <c r="D21" s="115" t="s">
        <v>317</v>
      </c>
      <c r="E21" s="115" t="s">
        <v>325</v>
      </c>
    </row>
    <row r="22" spans="1:5" ht="15" customHeight="1" x14ac:dyDescent="0.2">
      <c r="A22" s="113" t="s">
        <v>41</v>
      </c>
      <c r="B22" s="114" t="s">
        <v>326</v>
      </c>
      <c r="C22" s="115" t="s">
        <v>327</v>
      </c>
      <c r="D22" s="115" t="s">
        <v>321</v>
      </c>
      <c r="E22" s="115"/>
    </row>
    <row r="23" spans="1:5" ht="15" customHeight="1" x14ac:dyDescent="0.2">
      <c r="A23" s="113" t="s">
        <v>41</v>
      </c>
      <c r="B23" s="114" t="s">
        <v>328</v>
      </c>
      <c r="C23" s="115" t="s">
        <v>329</v>
      </c>
      <c r="D23" s="115" t="s">
        <v>317</v>
      </c>
      <c r="E23" s="115" t="s">
        <v>330</v>
      </c>
    </row>
    <row r="24" spans="1:5" ht="15" customHeight="1" x14ac:dyDescent="0.2">
      <c r="A24" s="116" t="s">
        <v>44</v>
      </c>
      <c r="B24" s="117" t="s">
        <v>315</v>
      </c>
      <c r="C24" s="95" t="s">
        <v>331</v>
      </c>
      <c r="D24" s="95" t="s">
        <v>317</v>
      </c>
      <c r="E24" s="95" t="s">
        <v>332</v>
      </c>
    </row>
    <row r="25" spans="1:5" ht="15" customHeight="1" x14ac:dyDescent="0.2">
      <c r="A25" s="116" t="s">
        <v>44</v>
      </c>
      <c r="B25" s="117" t="s">
        <v>323</v>
      </c>
      <c r="C25" s="95" t="s">
        <v>333</v>
      </c>
      <c r="D25" s="95" t="s">
        <v>321</v>
      </c>
      <c r="E25" s="95" t="s">
        <v>334</v>
      </c>
    </row>
    <row r="26" spans="1:5" ht="15" customHeight="1" x14ac:dyDescent="0.2">
      <c r="A26" s="116" t="s">
        <v>44</v>
      </c>
      <c r="B26" s="117" t="s">
        <v>328</v>
      </c>
      <c r="C26" s="95" t="s">
        <v>335</v>
      </c>
      <c r="D26" s="95" t="s">
        <v>336</v>
      </c>
      <c r="E26" s="95" t="s">
        <v>337</v>
      </c>
    </row>
    <row r="27" spans="1:5" ht="15" customHeight="1" x14ac:dyDescent="0.2">
      <c r="A27" s="116" t="s">
        <v>44</v>
      </c>
      <c r="B27" s="117" t="s">
        <v>338</v>
      </c>
      <c r="C27" s="95" t="s">
        <v>339</v>
      </c>
      <c r="D27" s="95" t="s">
        <v>321</v>
      </c>
      <c r="E27" s="95" t="s">
        <v>325</v>
      </c>
    </row>
    <row r="28" spans="1:5" ht="15" customHeight="1" x14ac:dyDescent="0.2">
      <c r="A28" s="116" t="s">
        <v>44</v>
      </c>
      <c r="B28" s="117" t="s">
        <v>340</v>
      </c>
      <c r="C28" s="95" t="s">
        <v>329</v>
      </c>
      <c r="D28" s="95" t="s">
        <v>321</v>
      </c>
      <c r="E28" s="95" t="s">
        <v>341</v>
      </c>
    </row>
  </sheetData>
  <mergeCells count="4">
    <mergeCell ref="A1:G1"/>
    <mergeCell ref="A2:D2"/>
    <mergeCell ref="A9:E9"/>
    <mergeCell ref="A17:E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Assumptions</vt:lpstr>
      <vt:lpstr>Rank &amp; Level Structure</vt:lpstr>
      <vt:lpstr>EXP Required</vt:lpstr>
      <vt:lpstr>Kill EXP Cross Table</vt:lpstr>
      <vt:lpstr>kill exp cross table 2</vt:lpstr>
      <vt:lpstr>Kill EXP Calculator</vt:lpstr>
      <vt:lpstr>Quality Bonus Table</vt:lpstr>
      <vt:lpstr>EXP Modifiers</vt:lpstr>
      <vt:lpstr>Non-Kill EXP Sources</vt:lpstr>
      <vt:lpstr>Stage Transition</vt:lpstr>
      <vt:lpstr>FA &amp; Skill Thresholds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Jordan Quenum</cp:lastModifiedBy>
  <cp:revision>0</cp:revision>
  <dcterms:created xsi:type="dcterms:W3CDTF">2026-03-28T13:33:57Z</dcterms:created>
  <dcterms:modified xsi:type="dcterms:W3CDTF">2026-03-28T19:00:56Z</dcterms:modified>
  <dc:language>en-US</dc:language>
</cp:coreProperties>
</file>